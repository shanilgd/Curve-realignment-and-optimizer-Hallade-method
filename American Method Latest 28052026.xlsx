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46ed1c1415b161d/"/>
    </mc:Choice>
  </mc:AlternateContent>
  <xr:revisionPtr revIDLastSave="3" documentId="8_{A8D70D88-AA30-4F6B-966D-B9635AC45294}" xr6:coauthVersionLast="47" xr6:coauthVersionMax="47" xr10:uidLastSave="{49A5D337-DBB5-464B-A4AA-A9CECD822DA5}"/>
  <bookViews>
    <workbookView xWindow="-120" yWindow="-120" windowWidth="29040" windowHeight="15720" xr2:uid="{6FFA9C24-C60D-4B4D-B2CA-F6364A319F66}"/>
  </bookViews>
  <sheets>
    <sheet name="5 MAJN" sheetId="1" r:id="rId1"/>
  </sheets>
  <definedNames>
    <definedName name="_xlnm.Print_Area" localSheetId="0">'5 MAJN'!$A$1:$W$100</definedName>
    <definedName name="_xlnm.Print_Titles" localSheetId="0">'5 MAJN'!$2:$2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0" i="1" l="1"/>
  <c r="B100" i="1"/>
  <c r="B102" i="1" s="1"/>
  <c r="D99" i="1"/>
  <c r="D98" i="1"/>
  <c r="D97" i="1"/>
  <c r="D96" i="1"/>
  <c r="D95" i="1"/>
  <c r="D94" i="1"/>
  <c r="R93" i="1"/>
  <c r="D93" i="1"/>
  <c r="V92" i="1"/>
  <c r="V94" i="1" s="1"/>
  <c r="R92" i="1"/>
  <c r="D92" i="1"/>
  <c r="U91" i="1"/>
  <c r="U95" i="1" s="1"/>
  <c r="D91" i="1"/>
  <c r="T91" i="1" s="1"/>
  <c r="T88" i="1" s="1"/>
  <c r="R90" i="1"/>
  <c r="D90" i="1"/>
  <c r="S90" i="1" s="1"/>
  <c r="S95" i="1" s="1"/>
  <c r="S89" i="1"/>
  <c r="D89" i="1"/>
  <c r="R89" i="1" s="1"/>
  <c r="R95" i="1" s="1"/>
  <c r="R88" i="1"/>
  <c r="D88" i="1"/>
  <c r="Q88" i="1" s="1"/>
  <c r="Q82" i="1" s="1"/>
  <c r="R87" i="1"/>
  <c r="D87" i="1"/>
  <c r="P87" i="1" s="1"/>
  <c r="P93" i="1" s="1"/>
  <c r="D86" i="1"/>
  <c r="O86" i="1" s="1"/>
  <c r="O89" i="1" s="1"/>
  <c r="R85" i="1"/>
  <c r="D85" i="1"/>
  <c r="N85" i="1" s="1"/>
  <c r="R84" i="1"/>
  <c r="D84" i="1"/>
  <c r="M84" i="1" s="1"/>
  <c r="R83" i="1"/>
  <c r="D83" i="1"/>
  <c r="L83" i="1" s="1"/>
  <c r="L84" i="1" s="1"/>
  <c r="D82" i="1"/>
  <c r="K82" i="1" s="1"/>
  <c r="K85" i="1" s="1"/>
  <c r="O81" i="1"/>
  <c r="D81" i="1"/>
  <c r="J81" i="1" s="1"/>
  <c r="D80" i="1"/>
  <c r="I80" i="1" s="1"/>
  <c r="D79" i="1"/>
  <c r="H79" i="1" s="1"/>
  <c r="H84" i="1" s="1"/>
  <c r="D78" i="1"/>
  <c r="G78" i="1" s="1"/>
  <c r="D77" i="1"/>
  <c r="F77" i="1" s="1"/>
  <c r="D76" i="1"/>
  <c r="E76" i="1" s="1"/>
  <c r="E80" i="1" s="1"/>
  <c r="D75" i="1"/>
  <c r="U75" i="1" s="1"/>
  <c r="D74" i="1"/>
  <c r="T74" i="1" s="1"/>
  <c r="T69" i="1" s="1"/>
  <c r="S73" i="1"/>
  <c r="S76" i="1" s="1"/>
  <c r="D73" i="1"/>
  <c r="D72" i="1"/>
  <c r="R72" i="1" s="1"/>
  <c r="D71" i="1"/>
  <c r="Q71" i="1" s="1"/>
  <c r="J70" i="1"/>
  <c r="D70" i="1"/>
  <c r="P70" i="1" s="1"/>
  <c r="P64" i="1" s="1"/>
  <c r="P69" i="1"/>
  <c r="D69" i="1"/>
  <c r="O69" i="1" s="1"/>
  <c r="D68" i="1"/>
  <c r="N68" i="1" s="1"/>
  <c r="N67" i="1" s="1"/>
  <c r="D67" i="1"/>
  <c r="M67" i="1" s="1"/>
  <c r="M71" i="1" s="1"/>
  <c r="M66" i="1"/>
  <c r="D66" i="1"/>
  <c r="L66" i="1" s="1"/>
  <c r="L65" i="1" s="1"/>
  <c r="D65" i="1"/>
  <c r="K65" i="1" s="1"/>
  <c r="K68" i="1" s="1"/>
  <c r="D64" i="1"/>
  <c r="J64" i="1" s="1"/>
  <c r="J63" i="1" s="1"/>
  <c r="D63" i="1"/>
  <c r="I63" i="1" s="1"/>
  <c r="M62" i="1"/>
  <c r="D62" i="1"/>
  <c r="H62" i="1" s="1"/>
  <c r="H63" i="1" s="1"/>
  <c r="D61" i="1"/>
  <c r="G61" i="1" s="1"/>
  <c r="G55" i="1" s="1"/>
  <c r="D60" i="1"/>
  <c r="F60" i="1" s="1"/>
  <c r="D59" i="1"/>
  <c r="E59" i="1" s="1"/>
  <c r="D58" i="1"/>
  <c r="V58" i="1" s="1"/>
  <c r="D57" i="1"/>
  <c r="U57" i="1" s="1"/>
  <c r="D56" i="1"/>
  <c r="T56" i="1" s="1"/>
  <c r="T50" i="1" s="1"/>
  <c r="D55" i="1"/>
  <c r="S55" i="1" s="1"/>
  <c r="D54" i="1"/>
  <c r="R54" i="1" s="1"/>
  <c r="K53" i="1"/>
  <c r="D53" i="1"/>
  <c r="Q53" i="1" s="1"/>
  <c r="Q50" i="1" s="1"/>
  <c r="D52" i="1"/>
  <c r="P52" i="1" s="1"/>
  <c r="P51" i="1" s="1"/>
  <c r="I51" i="1"/>
  <c r="D51" i="1"/>
  <c r="O51" i="1" s="1"/>
  <c r="O55" i="1" s="1"/>
  <c r="D50" i="1"/>
  <c r="N50" i="1" s="1"/>
  <c r="P49" i="1"/>
  <c r="D49" i="1"/>
  <c r="M49" i="1" s="1"/>
  <c r="M54" i="1" s="1"/>
  <c r="D48" i="1"/>
  <c r="L48" i="1" s="1"/>
  <c r="M47" i="1"/>
  <c r="D47" i="1"/>
  <c r="K47" i="1" s="1"/>
  <c r="K52" i="1" s="1"/>
  <c r="M46" i="1"/>
  <c r="D46" i="1"/>
  <c r="J46" i="1" s="1"/>
  <c r="M45" i="1"/>
  <c r="D45" i="1"/>
  <c r="I45" i="1" s="1"/>
  <c r="I46" i="1" s="1"/>
  <c r="M44" i="1"/>
  <c r="D44" i="1"/>
  <c r="H44" i="1" s="1"/>
  <c r="M43" i="1"/>
  <c r="K43" i="1"/>
  <c r="G43" i="1"/>
  <c r="D43" i="1"/>
  <c r="D42" i="1"/>
  <c r="F42" i="1" s="1"/>
  <c r="D41" i="1"/>
  <c r="E41" i="1" s="1"/>
  <c r="D40" i="1"/>
  <c r="V40" i="1" s="1"/>
  <c r="U39" i="1"/>
  <c r="U36" i="1" s="1"/>
  <c r="D39" i="1"/>
  <c r="D38" i="1"/>
  <c r="T38" i="1" s="1"/>
  <c r="T41" i="1" s="1"/>
  <c r="T37" i="1"/>
  <c r="D37" i="1"/>
  <c r="S37" i="1" s="1"/>
  <c r="S36" i="1" s="1"/>
  <c r="D36" i="1"/>
  <c r="R36" i="1" s="1"/>
  <c r="R30" i="1" s="1"/>
  <c r="D35" i="1"/>
  <c r="Q35" i="1" s="1"/>
  <c r="Q37" i="1" s="1"/>
  <c r="Q34" i="1"/>
  <c r="N34" i="1"/>
  <c r="D34" i="1"/>
  <c r="P34" i="1" s="1"/>
  <c r="P33" i="1" s="1"/>
  <c r="T33" i="1"/>
  <c r="S33" i="1"/>
  <c r="D33" i="1"/>
  <c r="O33" i="1" s="1"/>
  <c r="O32" i="1" s="1"/>
  <c r="Q32" i="1"/>
  <c r="D32" i="1"/>
  <c r="N32" i="1" s="1"/>
  <c r="N38" i="1" s="1"/>
  <c r="Q31" i="1"/>
  <c r="D31" i="1"/>
  <c r="M31" i="1" s="1"/>
  <c r="Q30" i="1"/>
  <c r="D30" i="1"/>
  <c r="L30" i="1" s="1"/>
  <c r="Q29" i="1"/>
  <c r="N29" i="1"/>
  <c r="D29" i="1"/>
  <c r="K29" i="1" s="1"/>
  <c r="N28" i="1"/>
  <c r="D28" i="1"/>
  <c r="J28" i="1" s="1"/>
  <c r="D27" i="1"/>
  <c r="I27" i="1" s="1"/>
  <c r="N26" i="1"/>
  <c r="D26" i="1"/>
  <c r="H26" i="1" s="1"/>
  <c r="K25" i="1"/>
  <c r="D25" i="1"/>
  <c r="G25" i="1" s="1"/>
  <c r="D24" i="1"/>
  <c r="F24" i="1" s="1"/>
  <c r="D23" i="1"/>
  <c r="E23" i="1" s="1"/>
  <c r="D22" i="1"/>
  <c r="U22" i="1" s="1"/>
  <c r="D21" i="1"/>
  <c r="T21" i="1" s="1"/>
  <c r="D20" i="1"/>
  <c r="S20" i="1" s="1"/>
  <c r="S25" i="1" s="1"/>
  <c r="S19" i="1"/>
  <c r="R19" i="1"/>
  <c r="R14" i="1" s="1"/>
  <c r="D19" i="1"/>
  <c r="D18" i="1"/>
  <c r="Q18" i="1" s="1"/>
  <c r="S17" i="1"/>
  <c r="D17" i="1"/>
  <c r="P17" i="1" s="1"/>
  <c r="D16" i="1"/>
  <c r="O16" i="1" s="1"/>
  <c r="D15" i="1"/>
  <c r="N15" i="1" s="1"/>
  <c r="D14" i="1"/>
  <c r="M14" i="1" s="1"/>
  <c r="R13" i="1"/>
  <c r="L13" i="1"/>
  <c r="L17" i="1" s="1"/>
  <c r="D13" i="1"/>
  <c r="D12" i="1"/>
  <c r="K12" i="1" s="1"/>
  <c r="D11" i="1"/>
  <c r="J11" i="1" s="1"/>
  <c r="D10" i="1"/>
  <c r="I10" i="1" s="1"/>
  <c r="D9" i="1"/>
  <c r="H9" i="1" s="1"/>
  <c r="D8" i="1"/>
  <c r="G8" i="1" s="1"/>
  <c r="L7" i="1"/>
  <c r="D7" i="1"/>
  <c r="F7" i="1" s="1"/>
  <c r="D6" i="1"/>
  <c r="E6" i="1" s="1"/>
  <c r="D5" i="1"/>
  <c r="D4" i="1"/>
  <c r="D3" i="1"/>
  <c r="E17" i="1" l="1"/>
  <c r="E28" i="1"/>
  <c r="E24" i="1"/>
  <c r="E21" i="1"/>
  <c r="E18" i="1"/>
  <c r="V23" i="1"/>
  <c r="E20" i="1"/>
  <c r="E19" i="1"/>
  <c r="S51" i="1"/>
  <c r="S52" i="1"/>
  <c r="S60" i="1"/>
  <c r="S58" i="1"/>
  <c r="M90" i="1"/>
  <c r="M89" i="1"/>
  <c r="M81" i="1"/>
  <c r="N21" i="1"/>
  <c r="N12" i="1"/>
  <c r="N14" i="1"/>
  <c r="I24" i="1"/>
  <c r="I23" i="1"/>
  <c r="I31" i="1"/>
  <c r="I82" i="1"/>
  <c r="I76" i="1"/>
  <c r="J17" i="1"/>
  <c r="J7" i="1"/>
  <c r="J16" i="1"/>
  <c r="J10" i="1"/>
  <c r="J9" i="1"/>
  <c r="J6" i="1"/>
  <c r="J8" i="1"/>
  <c r="L10" i="1"/>
  <c r="Q49" i="1"/>
  <c r="S96" i="1"/>
  <c r="L8" i="1"/>
  <c r="S23" i="1"/>
  <c r="L12" i="1"/>
  <c r="N27" i="1"/>
  <c r="N30" i="1"/>
  <c r="U34" i="1"/>
  <c r="K41" i="1"/>
  <c r="U44" i="1"/>
  <c r="M51" i="1"/>
  <c r="L64" i="1"/>
  <c r="R94" i="1"/>
  <c r="S40" i="1"/>
  <c r="S31" i="1"/>
  <c r="U37" i="1"/>
  <c r="U40" i="1"/>
  <c r="M70" i="1"/>
  <c r="V97" i="1"/>
  <c r="P67" i="1"/>
  <c r="L9" i="1"/>
  <c r="S15" i="1"/>
  <c r="S32" i="1"/>
  <c r="Q38" i="1"/>
  <c r="K48" i="1"/>
  <c r="T55" i="1"/>
  <c r="M64" i="1"/>
  <c r="P68" i="1"/>
  <c r="S85" i="1"/>
  <c r="S91" i="1"/>
  <c r="U35" i="1"/>
  <c r="K45" i="1"/>
  <c r="W45" i="1" s="1"/>
  <c r="J61" i="1"/>
  <c r="M73" i="1"/>
  <c r="G37" i="1"/>
  <c r="G45" i="1"/>
  <c r="G39" i="1"/>
  <c r="G40" i="1"/>
  <c r="U51" i="1"/>
  <c r="U60" i="1"/>
  <c r="J52" i="1"/>
  <c r="J47" i="1"/>
  <c r="J48" i="1"/>
  <c r="J43" i="1"/>
  <c r="I9" i="1"/>
  <c r="I7" i="1"/>
  <c r="N54" i="1"/>
  <c r="N55" i="1"/>
  <c r="N44" i="1"/>
  <c r="N46" i="1"/>
  <c r="N47" i="1"/>
  <c r="R56" i="1"/>
  <c r="R57" i="1"/>
  <c r="U69" i="1"/>
  <c r="U71" i="1"/>
  <c r="U80" i="1"/>
  <c r="U70" i="1"/>
  <c r="U77" i="1"/>
  <c r="U78" i="1"/>
  <c r="U72" i="1"/>
  <c r="U81" i="1"/>
  <c r="U76" i="1"/>
  <c r="U73" i="1"/>
  <c r="U74" i="1"/>
  <c r="V42" i="1"/>
  <c r="V44" i="1"/>
  <c r="E37" i="1"/>
  <c r="E45" i="1"/>
  <c r="E36" i="1"/>
  <c r="O54" i="1"/>
  <c r="O50" i="1"/>
  <c r="E57" i="1"/>
  <c r="E61" i="1"/>
  <c r="E53" i="1"/>
  <c r="E54" i="1"/>
  <c r="E60" i="1"/>
  <c r="E58" i="1"/>
  <c r="E56" i="1"/>
  <c r="I61" i="1"/>
  <c r="I57" i="1"/>
  <c r="I65" i="1"/>
  <c r="I59" i="1"/>
  <c r="I62" i="1"/>
  <c r="J86" i="1"/>
  <c r="J87" i="1"/>
  <c r="J77" i="1"/>
  <c r="J75" i="1"/>
  <c r="J85" i="1"/>
  <c r="J78" i="1"/>
  <c r="J79" i="1"/>
  <c r="J83" i="1"/>
  <c r="J80" i="1"/>
  <c r="J76" i="1"/>
  <c r="J84" i="1"/>
  <c r="G41" i="1"/>
  <c r="F58" i="1"/>
  <c r="F55" i="1"/>
  <c r="F56" i="1"/>
  <c r="Q67" i="1"/>
  <c r="Q74" i="1"/>
  <c r="Q66" i="1"/>
  <c r="Q72" i="1"/>
  <c r="Q73" i="1"/>
  <c r="Q75" i="1"/>
  <c r="Q77" i="1"/>
  <c r="Q65" i="1"/>
  <c r="N82" i="1"/>
  <c r="N79" i="1"/>
  <c r="N83" i="1"/>
  <c r="N87" i="1"/>
  <c r="N86" i="1"/>
  <c r="N81" i="1"/>
  <c r="H24" i="1"/>
  <c r="H20" i="1"/>
  <c r="M26" i="1"/>
  <c r="M25" i="1"/>
  <c r="M30" i="1"/>
  <c r="M28" i="1"/>
  <c r="M36" i="1"/>
  <c r="M34" i="1"/>
  <c r="O39" i="1"/>
  <c r="O29" i="1"/>
  <c r="O27" i="1"/>
  <c r="L47" i="1"/>
  <c r="L45" i="1"/>
  <c r="L53" i="1"/>
  <c r="L42" i="1"/>
  <c r="L46" i="1"/>
  <c r="L44" i="1"/>
  <c r="R78" i="1"/>
  <c r="R74" i="1"/>
  <c r="R71" i="1"/>
  <c r="P19" i="1"/>
  <c r="P16" i="1"/>
  <c r="P23" i="1" s="1"/>
  <c r="P22" i="1"/>
  <c r="P14" i="1"/>
  <c r="M29" i="1"/>
  <c r="V35" i="1"/>
  <c r="F75" i="1"/>
  <c r="F72" i="1"/>
  <c r="E11" i="1"/>
  <c r="E9" i="1"/>
  <c r="E3" i="1"/>
  <c r="E8" i="1"/>
  <c r="E5" i="1"/>
  <c r="E12" i="1"/>
  <c r="P11" i="1"/>
  <c r="R42" i="1"/>
  <c r="R31" i="1"/>
  <c r="R40" i="1"/>
  <c r="G84" i="1"/>
  <c r="G73" i="1"/>
  <c r="G81" i="1"/>
  <c r="G77" i="1"/>
  <c r="G75" i="1"/>
  <c r="G76" i="1"/>
  <c r="G74" i="1"/>
  <c r="G79" i="1"/>
  <c r="G80" i="1"/>
  <c r="H83" i="1"/>
  <c r="S54" i="1"/>
  <c r="L62" i="1"/>
  <c r="P84" i="1"/>
  <c r="T32" i="1"/>
  <c r="N66" i="1"/>
  <c r="I79" i="1"/>
  <c r="M86" i="1"/>
  <c r="R16" i="1"/>
  <c r="Q51" i="1"/>
  <c r="L69" i="1"/>
  <c r="S72" i="1"/>
  <c r="I78" i="1"/>
  <c r="P90" i="1"/>
  <c r="S16" i="1"/>
  <c r="L18" i="1"/>
  <c r="R24" i="1"/>
  <c r="S26" i="1"/>
  <c r="M53" i="1"/>
  <c r="M79" i="1"/>
  <c r="M82" i="1"/>
  <c r="P86" i="1"/>
  <c r="R21" i="1"/>
  <c r="S49" i="1"/>
  <c r="N64" i="1"/>
  <c r="S21" i="1"/>
  <c r="I42" i="1"/>
  <c r="M80" i="1"/>
  <c r="K71" i="1"/>
  <c r="P83" i="1"/>
  <c r="P88" i="1"/>
  <c r="J13" i="1"/>
  <c r="L15" i="1"/>
  <c r="S18" i="1"/>
  <c r="N20" i="1"/>
  <c r="S24" i="1"/>
  <c r="M48" i="1"/>
  <c r="M52" i="1"/>
  <c r="S53" i="1"/>
  <c r="M55" i="1"/>
  <c r="L61" i="1"/>
  <c r="L63" i="1"/>
  <c r="J65" i="1"/>
  <c r="J67" i="1"/>
  <c r="M78" i="1"/>
  <c r="V90" i="1"/>
  <c r="D100" i="1"/>
  <c r="S14" i="1"/>
  <c r="N17" i="1"/>
  <c r="E29" i="1"/>
  <c r="S50" i="1"/>
  <c r="T53" i="1"/>
  <c r="S56" i="1"/>
  <c r="H58" i="1"/>
  <c r="L60" i="1"/>
  <c r="H48" i="1"/>
  <c r="H47" i="1"/>
  <c r="H46" i="1"/>
  <c r="H49" i="1"/>
  <c r="H50" i="1"/>
  <c r="H45" i="1"/>
  <c r="H41" i="1"/>
  <c r="H40" i="1"/>
  <c r="H42" i="1"/>
  <c r="H39" i="1"/>
  <c r="H38" i="1"/>
  <c r="H43" i="1"/>
  <c r="F30" i="1"/>
  <c r="F25" i="1"/>
  <c r="F26" i="1"/>
  <c r="F23" i="1"/>
  <c r="F20" i="1"/>
  <c r="F29" i="1"/>
  <c r="F19" i="1"/>
  <c r="W19" i="1" s="1"/>
  <c r="F28" i="1"/>
  <c r="F21" i="1"/>
  <c r="F27" i="1"/>
  <c r="F22" i="1"/>
  <c r="F18" i="1"/>
  <c r="G30" i="1"/>
  <c r="G28" i="1"/>
  <c r="G20" i="1"/>
  <c r="G22" i="1"/>
  <c r="G21" i="1"/>
  <c r="G27" i="1"/>
  <c r="G26" i="1"/>
  <c r="G29" i="1"/>
  <c r="G19" i="1"/>
  <c r="G24" i="1"/>
  <c r="G31" i="1"/>
  <c r="G23" i="1"/>
  <c r="K17" i="1"/>
  <c r="K16" i="1"/>
  <c r="K14" i="1"/>
  <c r="K13" i="1"/>
  <c r="K8" i="1"/>
  <c r="K15" i="1"/>
  <c r="K11" i="1"/>
  <c r="K6" i="1"/>
  <c r="K10" i="1"/>
  <c r="K7" i="1"/>
  <c r="K18" i="1"/>
  <c r="K9" i="1"/>
  <c r="M18" i="1"/>
  <c r="M19" i="1"/>
  <c r="M11" i="1"/>
  <c r="M16" i="1"/>
  <c r="M15" i="1"/>
  <c r="M20" i="1"/>
  <c r="M13" i="1"/>
  <c r="M10" i="1"/>
  <c r="M9" i="1"/>
  <c r="M8" i="1"/>
  <c r="M12" i="1"/>
  <c r="M17" i="1"/>
  <c r="O21" i="1"/>
  <c r="O13" i="1"/>
  <c r="O10" i="1"/>
  <c r="O20" i="1"/>
  <c r="O17" i="1"/>
  <c r="O22" i="1"/>
  <c r="O11" i="1"/>
  <c r="O18" i="1"/>
  <c r="O15" i="1"/>
  <c r="O12" i="1"/>
  <c r="O14" i="1"/>
  <c r="O19" i="1"/>
  <c r="L33" i="1"/>
  <c r="L32" i="1"/>
  <c r="L27" i="1"/>
  <c r="L29" i="1"/>
  <c r="L24" i="1"/>
  <c r="L28" i="1"/>
  <c r="L35" i="1"/>
  <c r="L31" i="1"/>
  <c r="L25" i="1"/>
  <c r="L36" i="1"/>
  <c r="L26" i="1"/>
  <c r="L34" i="1"/>
  <c r="F11" i="1"/>
  <c r="F6" i="1"/>
  <c r="F4" i="1"/>
  <c r="F13" i="1"/>
  <c r="F10" i="1"/>
  <c r="F3" i="1"/>
  <c r="W3" i="1" s="1"/>
  <c r="F12" i="1"/>
  <c r="F5" i="1"/>
  <c r="F9" i="1"/>
  <c r="F8" i="1"/>
  <c r="Q22" i="1"/>
  <c r="Q15" i="1"/>
  <c r="Q23" i="1"/>
  <c r="Q20" i="1"/>
  <c r="Q12" i="1"/>
  <c r="Q14" i="1"/>
  <c r="Q19" i="1"/>
  <c r="Q17" i="1"/>
  <c r="Q16" i="1"/>
  <c r="Q24" i="1"/>
  <c r="Q21" i="1"/>
  <c r="Q13" i="1"/>
  <c r="V64" i="1"/>
  <c r="V54" i="1"/>
  <c r="V56" i="1"/>
  <c r="V61" i="1"/>
  <c r="V60" i="1"/>
  <c r="V63" i="1"/>
  <c r="V55" i="1"/>
  <c r="V53" i="1"/>
  <c r="V62" i="1"/>
  <c r="V57" i="1"/>
  <c r="V59" i="1"/>
  <c r="V52" i="1"/>
  <c r="T23" i="1"/>
  <c r="T20" i="1"/>
  <c r="T17" i="1"/>
  <c r="T25" i="1"/>
  <c r="T22" i="1"/>
  <c r="T24" i="1"/>
  <c r="T18" i="1"/>
  <c r="T15" i="1"/>
  <c r="T19" i="1"/>
  <c r="T16" i="1"/>
  <c r="T27" i="1"/>
  <c r="T26" i="1"/>
  <c r="U26" i="1"/>
  <c r="U18" i="1"/>
  <c r="U17" i="1"/>
  <c r="U25" i="1"/>
  <c r="U19" i="1"/>
  <c r="U16" i="1"/>
  <c r="U28" i="1"/>
  <c r="U23" i="1"/>
  <c r="U20" i="1"/>
  <c r="U24" i="1"/>
  <c r="U21" i="1"/>
  <c r="U27" i="1"/>
  <c r="G4" i="1"/>
  <c r="G13" i="1"/>
  <c r="G10" i="1"/>
  <c r="G7" i="1"/>
  <c r="G12" i="1"/>
  <c r="G5" i="1"/>
  <c r="G9" i="1"/>
  <c r="G11" i="1"/>
  <c r="G3" i="1"/>
  <c r="G14" i="1"/>
  <c r="G6" i="1"/>
  <c r="H13" i="1"/>
  <c r="H10" i="1"/>
  <c r="H7" i="1"/>
  <c r="H8" i="1"/>
  <c r="H15" i="1"/>
  <c r="H3" i="1"/>
  <c r="H14" i="1"/>
  <c r="H6" i="1"/>
  <c r="H12" i="1"/>
  <c r="H5" i="1"/>
  <c r="H11" i="1"/>
  <c r="H4" i="1"/>
  <c r="J33" i="1"/>
  <c r="J34" i="1"/>
  <c r="J29" i="1"/>
  <c r="J24" i="1"/>
  <c r="J30" i="1"/>
  <c r="J23" i="1"/>
  <c r="J32" i="1"/>
  <c r="J25" i="1"/>
  <c r="J27" i="1"/>
  <c r="J31" i="1"/>
  <c r="J26" i="1"/>
  <c r="J22" i="1"/>
  <c r="I13" i="1"/>
  <c r="P31" i="1"/>
  <c r="P40" i="1"/>
  <c r="P36" i="1"/>
  <c r="P30" i="1"/>
  <c r="P28" i="1"/>
  <c r="P38" i="1"/>
  <c r="I4" i="1"/>
  <c r="I16" i="1"/>
  <c r="V21" i="1"/>
  <c r="K35" i="1"/>
  <c r="K30" i="1"/>
  <c r="K34" i="1"/>
  <c r="K24" i="1"/>
  <c r="K32" i="1"/>
  <c r="F76" i="1"/>
  <c r="I6" i="1"/>
  <c r="I11" i="1"/>
  <c r="V18" i="1"/>
  <c r="H27" i="1"/>
  <c r="F71" i="1"/>
  <c r="K26" i="1"/>
  <c r="H30" i="1"/>
  <c r="P32" i="1"/>
  <c r="R33" i="1"/>
  <c r="R39" i="1"/>
  <c r="R35" i="1"/>
  <c r="R41" i="1"/>
  <c r="R37" i="1"/>
  <c r="R32" i="1"/>
  <c r="R38" i="1"/>
  <c r="V46" i="1"/>
  <c r="V45" i="1"/>
  <c r="V41" i="1"/>
  <c r="V37" i="1"/>
  <c r="R50" i="1"/>
  <c r="R60" i="1"/>
  <c r="R52" i="1"/>
  <c r="R55" i="1"/>
  <c r="R53" i="1"/>
  <c r="R58" i="1"/>
  <c r="R49" i="1"/>
  <c r="R48" i="1"/>
  <c r="R51" i="1"/>
  <c r="E7" i="1"/>
  <c r="N9" i="1"/>
  <c r="E10" i="1"/>
  <c r="P12" i="1"/>
  <c r="J14" i="1"/>
  <c r="L16" i="1"/>
  <c r="P20" i="1"/>
  <c r="H21" i="1"/>
  <c r="S22" i="1"/>
  <c r="E25" i="1"/>
  <c r="I30" i="1"/>
  <c r="K31" i="1"/>
  <c r="I33" i="1"/>
  <c r="Q40" i="1"/>
  <c r="Q36" i="1"/>
  <c r="Q39" i="1"/>
  <c r="Q33" i="1"/>
  <c r="V38" i="1"/>
  <c r="Q41" i="1"/>
  <c r="F48" i="1"/>
  <c r="F45" i="1"/>
  <c r="F43" i="1"/>
  <c r="F41" i="1"/>
  <c r="F39" i="1"/>
  <c r="F37" i="1"/>
  <c r="F47" i="1"/>
  <c r="F46" i="1"/>
  <c r="F38" i="1"/>
  <c r="F44" i="1"/>
  <c r="F40" i="1"/>
  <c r="F36" i="1"/>
  <c r="U43" i="1"/>
  <c r="G44" i="1"/>
  <c r="J49" i="1"/>
  <c r="T68" i="1"/>
  <c r="T80" i="1"/>
  <c r="T79" i="1"/>
  <c r="T78" i="1"/>
  <c r="T77" i="1"/>
  <c r="T76" i="1"/>
  <c r="T75" i="1"/>
  <c r="T73" i="1"/>
  <c r="T72" i="1"/>
  <c r="T71" i="1"/>
  <c r="T70" i="1"/>
  <c r="O88" i="1"/>
  <c r="O84" i="1"/>
  <c r="O92" i="1"/>
  <c r="O85" i="1"/>
  <c r="O91" i="1"/>
  <c r="O82" i="1"/>
  <c r="O80" i="1"/>
  <c r="O83" i="1"/>
  <c r="O90" i="1"/>
  <c r="O87" i="1"/>
  <c r="P35" i="1"/>
  <c r="O65" i="1"/>
  <c r="O63" i="1"/>
  <c r="O75" i="1"/>
  <c r="O74" i="1"/>
  <c r="O73" i="1"/>
  <c r="O72" i="1"/>
  <c r="O71" i="1"/>
  <c r="O70" i="1"/>
  <c r="O64" i="1"/>
  <c r="O67" i="1"/>
  <c r="O66" i="1"/>
  <c r="V76" i="1"/>
  <c r="E79" i="1"/>
  <c r="E75" i="1"/>
  <c r="E74" i="1"/>
  <c r="E81" i="1"/>
  <c r="E72" i="1"/>
  <c r="E71" i="1"/>
  <c r="F74" i="1"/>
  <c r="F83" i="1"/>
  <c r="F82" i="1"/>
  <c r="F78" i="1"/>
  <c r="F73" i="1"/>
  <c r="F80" i="1"/>
  <c r="F79" i="1"/>
  <c r="L82" i="1"/>
  <c r="L81" i="1"/>
  <c r="L80" i="1"/>
  <c r="L79" i="1"/>
  <c r="L78" i="1"/>
  <c r="L77" i="1"/>
  <c r="L90" i="1"/>
  <c r="L87" i="1"/>
  <c r="L89" i="1"/>
  <c r="L88" i="1"/>
  <c r="L85" i="1"/>
  <c r="H31" i="1"/>
  <c r="H28" i="1"/>
  <c r="H23" i="1"/>
  <c r="E43" i="1"/>
  <c r="E39" i="1"/>
  <c r="E35" i="1"/>
  <c r="E47" i="1"/>
  <c r="E46" i="1"/>
  <c r="E42" i="1"/>
  <c r="E38" i="1"/>
  <c r="U62" i="1"/>
  <c r="U61" i="1"/>
  <c r="U54" i="1"/>
  <c r="U63" i="1"/>
  <c r="U56" i="1"/>
  <c r="U59" i="1"/>
  <c r="U53" i="1"/>
  <c r="U52" i="1"/>
  <c r="H66" i="1"/>
  <c r="H64" i="1"/>
  <c r="H67" i="1"/>
  <c r="H59" i="1"/>
  <c r="H57" i="1"/>
  <c r="H68" i="1"/>
  <c r="H60" i="1"/>
  <c r="H65" i="1"/>
  <c r="H61" i="1"/>
  <c r="H56" i="1"/>
  <c r="R25" i="1"/>
  <c r="R17" i="1"/>
  <c r="V27" i="1"/>
  <c r="V28" i="1"/>
  <c r="I14" i="1"/>
  <c r="R22" i="1"/>
  <c r="K23" i="1"/>
  <c r="I28" i="1"/>
  <c r="P29" i="1"/>
  <c r="E44" i="1"/>
  <c r="U58" i="1"/>
  <c r="R59" i="1"/>
  <c r="E4" i="1"/>
  <c r="I5" i="1"/>
  <c r="N10" i="1"/>
  <c r="L11" i="1"/>
  <c r="I12" i="1"/>
  <c r="N13" i="1"/>
  <c r="P15" i="1"/>
  <c r="P18" i="1"/>
  <c r="L19" i="1"/>
  <c r="I21" i="1"/>
  <c r="V24" i="1"/>
  <c r="K27" i="1"/>
  <c r="K28" i="1"/>
  <c r="H29" i="1"/>
  <c r="K33" i="1"/>
  <c r="R34" i="1"/>
  <c r="P39" i="1"/>
  <c r="E40" i="1"/>
  <c r="V43" i="1"/>
  <c r="O45" i="1"/>
  <c r="N48" i="1"/>
  <c r="K49" i="1"/>
  <c r="F65" i="1"/>
  <c r="F63" i="1"/>
  <c r="F61" i="1"/>
  <c r="F59" i="1"/>
  <c r="F57" i="1"/>
  <c r="F66" i="1"/>
  <c r="F64" i="1"/>
  <c r="F54" i="1"/>
  <c r="F62" i="1"/>
  <c r="I64" i="1"/>
  <c r="I67" i="1"/>
  <c r="I58" i="1"/>
  <c r="I68" i="1"/>
  <c r="I66" i="1"/>
  <c r="I60" i="1"/>
  <c r="I69" i="1"/>
  <c r="O68" i="1"/>
  <c r="E70" i="1"/>
  <c r="L86" i="1"/>
  <c r="N18" i="1"/>
  <c r="I26" i="1"/>
  <c r="I32" i="1"/>
  <c r="E82" i="1"/>
  <c r="J5" i="1"/>
  <c r="J12" i="1"/>
  <c r="L14" i="1"/>
  <c r="I15" i="1"/>
  <c r="N16" i="1"/>
  <c r="V19" i="1"/>
  <c r="R20" i="1"/>
  <c r="H22" i="1"/>
  <c r="E27" i="1"/>
  <c r="E22" i="1"/>
  <c r="R23" i="1"/>
  <c r="H25" i="1"/>
  <c r="E26" i="1"/>
  <c r="I29" i="1"/>
  <c r="M32" i="1"/>
  <c r="M33" i="1"/>
  <c r="M27" i="1"/>
  <c r="M37" i="1"/>
  <c r="N37" i="1"/>
  <c r="N36" i="1"/>
  <c r="N31" i="1"/>
  <c r="N35" i="1"/>
  <c r="N33" i="1"/>
  <c r="M35" i="1"/>
  <c r="V36" i="1"/>
  <c r="P37" i="1"/>
  <c r="U42" i="1"/>
  <c r="U38" i="1"/>
  <c r="U33" i="1"/>
  <c r="U41" i="1"/>
  <c r="U45" i="1"/>
  <c r="J50" i="1"/>
  <c r="J51" i="1"/>
  <c r="J44" i="1"/>
  <c r="J42" i="1"/>
  <c r="J40" i="1"/>
  <c r="J45" i="1"/>
  <c r="J41" i="1"/>
  <c r="K51" i="1"/>
  <c r="K46" i="1"/>
  <c r="K50" i="1"/>
  <c r="K44" i="1"/>
  <c r="K42" i="1"/>
  <c r="N53" i="1"/>
  <c r="N49" i="1"/>
  <c r="N45" i="1"/>
  <c r="N51" i="1"/>
  <c r="N52" i="1"/>
  <c r="U55" i="1"/>
  <c r="G65" i="1"/>
  <c r="G63" i="1"/>
  <c r="G59" i="1"/>
  <c r="G64" i="1"/>
  <c r="G62" i="1"/>
  <c r="G60" i="1"/>
  <c r="G58" i="1"/>
  <c r="G56" i="1"/>
  <c r="G67" i="1"/>
  <c r="G66" i="1"/>
  <c r="G57" i="1"/>
  <c r="E73" i="1"/>
  <c r="E78" i="1"/>
  <c r="I85" i="1"/>
  <c r="I86" i="1"/>
  <c r="I83" i="1"/>
  <c r="I81" i="1"/>
  <c r="I77" i="1"/>
  <c r="I84" i="1"/>
  <c r="I75" i="1"/>
  <c r="I74" i="1"/>
  <c r="T97" i="1"/>
  <c r="T90" i="1"/>
  <c r="T87" i="1"/>
  <c r="T95" i="1"/>
  <c r="W95" i="1" s="1"/>
  <c r="T92" i="1"/>
  <c r="T85" i="1"/>
  <c r="T94" i="1"/>
  <c r="T96" i="1"/>
  <c r="T89" i="1"/>
  <c r="T86" i="1"/>
  <c r="F81" i="1"/>
  <c r="I8" i="1"/>
  <c r="N11" i="1"/>
  <c r="P13" i="1"/>
  <c r="J15" i="1"/>
  <c r="R15" i="1"/>
  <c r="R18" i="1"/>
  <c r="N19" i="1"/>
  <c r="P21" i="1"/>
  <c r="I22" i="1"/>
  <c r="V22" i="1"/>
  <c r="I25" i="1"/>
  <c r="V25" i="1"/>
  <c r="H32" i="1"/>
  <c r="O38" i="1"/>
  <c r="O36" i="1"/>
  <c r="O34" i="1"/>
  <c r="O37" i="1"/>
  <c r="O31" i="1"/>
  <c r="O30" i="1"/>
  <c r="O28" i="1"/>
  <c r="V34" i="1"/>
  <c r="O35" i="1"/>
  <c r="T43" i="1"/>
  <c r="T39" i="1"/>
  <c r="T35" i="1"/>
  <c r="T42" i="1"/>
  <c r="T34" i="1"/>
  <c r="T44" i="1"/>
  <c r="T40" i="1"/>
  <c r="T36" i="1"/>
  <c r="V39" i="1"/>
  <c r="G46" i="1"/>
  <c r="G47" i="1"/>
  <c r="G42" i="1"/>
  <c r="G38" i="1"/>
  <c r="G48" i="1"/>
  <c r="G49" i="1"/>
  <c r="I49" i="1"/>
  <c r="I48" i="1"/>
  <c r="I50" i="1"/>
  <c r="I41" i="1"/>
  <c r="I44" i="1"/>
  <c r="I40" i="1"/>
  <c r="I43" i="1"/>
  <c r="I39" i="1"/>
  <c r="I47" i="1"/>
  <c r="O56" i="1"/>
  <c r="O46" i="1"/>
  <c r="O53" i="1"/>
  <c r="O49" i="1"/>
  <c r="O57" i="1"/>
  <c r="O48" i="1"/>
  <c r="O52" i="1"/>
  <c r="O47" i="1"/>
  <c r="P57" i="1"/>
  <c r="P55" i="1"/>
  <c r="P53" i="1"/>
  <c r="P48" i="1"/>
  <c r="P58" i="1"/>
  <c r="P56" i="1"/>
  <c r="P47" i="1"/>
  <c r="P54" i="1"/>
  <c r="P46" i="1"/>
  <c r="P50" i="1"/>
  <c r="Q59" i="1"/>
  <c r="Q57" i="1"/>
  <c r="Q56" i="1"/>
  <c r="Q48" i="1"/>
  <c r="Q52" i="1"/>
  <c r="Q47" i="1"/>
  <c r="Q54" i="1"/>
  <c r="Q58" i="1"/>
  <c r="Q55" i="1"/>
  <c r="N56" i="1"/>
  <c r="K64" i="1"/>
  <c r="K62" i="1"/>
  <c r="K60" i="1"/>
  <c r="K66" i="1"/>
  <c r="K67" i="1"/>
  <c r="K69" i="1"/>
  <c r="K63" i="1"/>
  <c r="K61" i="1"/>
  <c r="K59" i="1"/>
  <c r="K70" i="1"/>
  <c r="E77" i="1"/>
  <c r="Q85" i="1"/>
  <c r="Q91" i="1"/>
  <c r="Q89" i="1"/>
  <c r="Q86" i="1"/>
  <c r="Q90" i="1"/>
  <c r="Q87" i="1"/>
  <c r="Q83" i="1"/>
  <c r="Q94" i="1"/>
  <c r="Q84" i="1"/>
  <c r="Q92" i="1"/>
  <c r="Q93" i="1"/>
  <c r="T93" i="1"/>
  <c r="S43" i="1"/>
  <c r="S41" i="1"/>
  <c r="S39" i="1"/>
  <c r="S35" i="1"/>
  <c r="L54" i="1"/>
  <c r="L52" i="1"/>
  <c r="L50" i="1"/>
  <c r="L49" i="1"/>
  <c r="T57" i="1"/>
  <c r="P76" i="1"/>
  <c r="P75" i="1"/>
  <c r="P74" i="1"/>
  <c r="P73" i="1"/>
  <c r="P72" i="1"/>
  <c r="P71" i="1"/>
  <c r="P66" i="1"/>
  <c r="P65" i="1"/>
  <c r="K86" i="1"/>
  <c r="K81" i="1"/>
  <c r="K80" i="1"/>
  <c r="K79" i="1"/>
  <c r="K78" i="1"/>
  <c r="K77" i="1"/>
  <c r="K76" i="1"/>
  <c r="K87" i="1"/>
  <c r="K83" i="1"/>
  <c r="K88" i="1"/>
  <c r="K84" i="1"/>
  <c r="P92" i="1"/>
  <c r="P85" i="1"/>
  <c r="P91" i="1"/>
  <c r="P89" i="1"/>
  <c r="P82" i="1"/>
  <c r="P81" i="1"/>
  <c r="U90" i="1"/>
  <c r="U94" i="1"/>
  <c r="U93" i="1"/>
  <c r="U92" i="1"/>
  <c r="S34" i="1"/>
  <c r="S38" i="1"/>
  <c r="S42" i="1"/>
  <c r="L43" i="1"/>
  <c r="L51" i="1"/>
  <c r="N69" i="1"/>
  <c r="N65" i="1"/>
  <c r="N63" i="1"/>
  <c r="N74" i="1"/>
  <c r="N73" i="1"/>
  <c r="N72" i="1"/>
  <c r="N71" i="1"/>
  <c r="N70" i="1"/>
  <c r="N62" i="1"/>
  <c r="R66" i="1"/>
  <c r="R68" i="1"/>
  <c r="R76" i="1"/>
  <c r="R70" i="1"/>
  <c r="R69" i="1"/>
  <c r="R67" i="1"/>
  <c r="R73" i="1"/>
  <c r="S74" i="1"/>
  <c r="R75" i="1"/>
  <c r="R77" i="1"/>
  <c r="N88" i="1"/>
  <c r="N84" i="1"/>
  <c r="N91" i="1"/>
  <c r="N89" i="1"/>
  <c r="N90" i="1"/>
  <c r="N80" i="1"/>
  <c r="E65" i="1"/>
  <c r="E63" i="1"/>
  <c r="E55" i="1"/>
  <c r="E62" i="1"/>
  <c r="J62" i="1"/>
  <c r="J60" i="1"/>
  <c r="J58" i="1"/>
  <c r="J66" i="1"/>
  <c r="J68" i="1"/>
  <c r="J59" i="1"/>
  <c r="J69" i="1"/>
  <c r="S67" i="1"/>
  <c r="S69" i="1"/>
  <c r="S68" i="1"/>
  <c r="S79" i="1"/>
  <c r="S75" i="1"/>
  <c r="S77" i="1"/>
  <c r="T61" i="1"/>
  <c r="T59" i="1"/>
  <c r="T62" i="1"/>
  <c r="T60" i="1"/>
  <c r="T58" i="1"/>
  <c r="T54" i="1"/>
  <c r="T52" i="1"/>
  <c r="T51" i="1"/>
  <c r="E64" i="1"/>
  <c r="S70" i="1"/>
  <c r="S71" i="1"/>
  <c r="S78" i="1"/>
  <c r="U89" i="1"/>
  <c r="U96" i="1"/>
  <c r="M61" i="1"/>
  <c r="L67" i="1"/>
  <c r="L68" i="1"/>
  <c r="L72" i="1"/>
  <c r="L71" i="1"/>
  <c r="L70" i="1"/>
  <c r="Q68" i="1"/>
  <c r="Q69" i="1"/>
  <c r="Q70" i="1"/>
  <c r="G72" i="1"/>
  <c r="Q76" i="1"/>
  <c r="H85" i="1"/>
  <c r="H82" i="1"/>
  <c r="H81" i="1"/>
  <c r="H80" i="1"/>
  <c r="H78" i="1"/>
  <c r="H77" i="1"/>
  <c r="H76" i="1"/>
  <c r="H75" i="1"/>
  <c r="H74" i="1"/>
  <c r="H73" i="1"/>
  <c r="R91" i="1"/>
  <c r="R86" i="1"/>
  <c r="S86" i="1"/>
  <c r="S87" i="1"/>
  <c r="S94" i="1"/>
  <c r="S93" i="1"/>
  <c r="S88" i="1"/>
  <c r="S84" i="1"/>
  <c r="S92" i="1"/>
  <c r="M50" i="1"/>
  <c r="S61" i="1"/>
  <c r="S59" i="1"/>
  <c r="S57" i="1"/>
  <c r="M68" i="1"/>
  <c r="M69" i="1"/>
  <c r="M65" i="1"/>
  <c r="M63" i="1"/>
  <c r="M72" i="1"/>
  <c r="U79" i="1"/>
  <c r="G82" i="1"/>
  <c r="G83" i="1"/>
  <c r="M85" i="1"/>
  <c r="V91" i="1"/>
  <c r="V96" i="1"/>
  <c r="J82" i="1"/>
  <c r="M88" i="1"/>
  <c r="V95" i="1"/>
  <c r="V93" i="1"/>
  <c r="M83" i="1"/>
  <c r="M87" i="1"/>
  <c r="W56" i="1" l="1"/>
  <c r="W51" i="1"/>
  <c r="W29" i="1"/>
  <c r="W93" i="1"/>
  <c r="W64" i="1"/>
  <c r="W36" i="1"/>
  <c r="W37" i="1"/>
  <c r="V20" i="1"/>
  <c r="V17" i="1"/>
  <c r="V29" i="1"/>
  <c r="W31" i="1"/>
  <c r="V26" i="1"/>
  <c r="W28" i="1"/>
  <c r="W53" i="1"/>
  <c r="W84" i="1"/>
  <c r="W60" i="1"/>
  <c r="W43" i="1"/>
  <c r="W63" i="1"/>
  <c r="W57" i="1"/>
  <c r="W38" i="1"/>
  <c r="W11" i="1"/>
  <c r="W52" i="1"/>
  <c r="W61" i="1"/>
  <c r="W4" i="1"/>
  <c r="W42" i="1"/>
  <c r="W6" i="1"/>
  <c r="W8" i="1"/>
  <c r="W9" i="1"/>
  <c r="W41" i="1"/>
  <c r="W12" i="1"/>
  <c r="W76" i="1"/>
  <c r="W24" i="1"/>
  <c r="W58" i="1"/>
  <c r="W80" i="1"/>
  <c r="W5" i="1"/>
  <c r="W17" i="1"/>
  <c r="W21" i="1"/>
  <c r="U97" i="1"/>
  <c r="W97" i="1" s="1"/>
  <c r="U87" i="1"/>
  <c r="W87" i="1" s="1"/>
  <c r="U88" i="1"/>
  <c r="W88" i="1" s="1"/>
  <c r="U98" i="1"/>
  <c r="U86" i="1"/>
  <c r="W67" i="1"/>
  <c r="V82" i="1"/>
  <c r="V81" i="1"/>
  <c r="V80" i="1"/>
  <c r="V79" i="1"/>
  <c r="V78" i="1"/>
  <c r="V77" i="1"/>
  <c r="V75" i="1"/>
  <c r="V74" i="1"/>
  <c r="V73" i="1"/>
  <c r="V72" i="1"/>
  <c r="V71" i="1"/>
  <c r="V70" i="1"/>
  <c r="W25" i="1"/>
  <c r="W65" i="1"/>
  <c r="W86" i="1"/>
  <c r="W22" i="1"/>
  <c r="W59" i="1"/>
  <c r="W89" i="1"/>
  <c r="W71" i="1"/>
  <c r="W48" i="1"/>
  <c r="W50" i="1"/>
  <c r="W27" i="1"/>
  <c r="W68" i="1"/>
  <c r="W33" i="1"/>
  <c r="W83" i="1"/>
  <c r="W77" i="1"/>
  <c r="W96" i="1"/>
  <c r="W78" i="1"/>
  <c r="W70" i="1"/>
  <c r="W44" i="1"/>
  <c r="W47" i="1"/>
  <c r="W90" i="1"/>
  <c r="W81" i="1"/>
  <c r="W10" i="1"/>
  <c r="W13" i="1"/>
  <c r="W32" i="1"/>
  <c r="W72" i="1"/>
  <c r="W91" i="1"/>
  <c r="W73" i="1"/>
  <c r="W82" i="1"/>
  <c r="W74" i="1"/>
  <c r="W92" i="1"/>
  <c r="W16" i="1"/>
  <c r="W34" i="1"/>
  <c r="W20" i="1"/>
  <c r="W40" i="1"/>
  <c r="W46" i="1"/>
  <c r="W85" i="1"/>
  <c r="W62" i="1"/>
  <c r="W69" i="1"/>
  <c r="W54" i="1"/>
  <c r="W35" i="1"/>
  <c r="W75" i="1"/>
  <c r="W7" i="1"/>
  <c r="W14" i="1"/>
  <c r="W18" i="1"/>
  <c r="W23" i="1"/>
  <c r="W66" i="1"/>
  <c r="V99" i="1"/>
  <c r="V88" i="1"/>
  <c r="V98" i="1"/>
  <c r="V89" i="1"/>
  <c r="V87" i="1"/>
  <c r="W94" i="1"/>
  <c r="W30" i="1"/>
  <c r="W49" i="1"/>
  <c r="W55" i="1"/>
  <c r="W26" i="1"/>
  <c r="W39" i="1"/>
  <c r="W79" i="1"/>
  <c r="W15" i="1"/>
</calcChain>
</file>

<file path=xl/sharedStrings.xml><?xml version="1.0" encoding="utf-8"?>
<sst xmlns="http://schemas.openxmlformats.org/spreadsheetml/2006/main" count="16" uniqueCount="16">
  <si>
    <t>CURVE NO. 5 UP MAJN RD 1 KM 4/700-5/300</t>
  </si>
  <si>
    <t>Stn No</t>
  </si>
  <si>
    <t>Exg.ver</t>
  </si>
  <si>
    <t>Pro.ver</t>
  </si>
  <si>
    <t>ver.diff</t>
  </si>
  <si>
    <t xml:space="preserve"> slew</t>
  </si>
  <si>
    <t>Net slew</t>
  </si>
  <si>
    <t>54+1</t>
  </si>
  <si>
    <t>54+2</t>
  </si>
  <si>
    <t>54+3</t>
  </si>
  <si>
    <t>Total</t>
  </si>
  <si>
    <t>Divid</t>
  </si>
  <si>
    <t>Stn</t>
  </si>
  <si>
    <t xml:space="preserve">Plus slew means slew towards out side of curve </t>
  </si>
  <si>
    <t>Minus slew means slew towards inside of curve</t>
  </si>
  <si>
    <t>SE/PWAY/GC/MDU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</si>
</sst>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4" x14ac:knownFonts="1">
    <font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47C1-8A53-48AB-8ADE-A03A0CDFC1D9}">
  <dimension ref="A1:AG108"/>
  <sheetViews>
    <sheetView tabSelected="1" topLeftCell="A45" zoomScaleNormal="100" workbookViewId="0">
      <selection activeCell="AA10" sqref="AA10"/>
    </sheetView>
  </sheetViews>
  <sheetFormatPr defaultRowHeight="12.75" x14ac:dyDescent="0.2"/>
  <cols>
    <col min="1" max="1" width="14.7109375" customWidth="1"/>
    <col min="2" max="2" width="13" customWidth="1"/>
    <col min="3" max="3" width="11.5703125" customWidth="1"/>
    <col min="4" max="4" width="10" customWidth="1"/>
    <col min="5" max="5" width="6" style="15" customWidth="1"/>
    <col min="6" max="6" width="5.140625" style="15" customWidth="1"/>
    <col min="7" max="7" width="5.5703125" style="15" customWidth="1"/>
    <col min="8" max="8" width="5.42578125" style="15" customWidth="1"/>
    <col min="9" max="10" width="6" style="15" customWidth="1"/>
    <col min="11" max="14" width="5.42578125" style="15" customWidth="1"/>
    <col min="15" max="15" width="5.7109375" style="15" customWidth="1"/>
    <col min="16" max="16" width="6.5703125" style="15" customWidth="1"/>
    <col min="17" max="17" width="7.140625" style="15" customWidth="1"/>
    <col min="18" max="18" width="5.42578125" style="15" customWidth="1"/>
    <col min="19" max="19" width="6.28515625" style="15" customWidth="1"/>
    <col min="20" max="20" width="5.5703125" style="15" customWidth="1"/>
    <col min="21" max="21" width="6" style="15" customWidth="1"/>
    <col min="22" max="22" width="5.5703125" style="15" customWidth="1"/>
    <col min="23" max="23" width="13.140625" customWidth="1"/>
    <col min="24" max="27" width="7.28515625" customWidth="1"/>
    <col min="28" max="28" width="9.28515625" customWidth="1"/>
    <col min="29" max="29" width="10.7109375" customWidth="1"/>
  </cols>
  <sheetData>
    <row r="1" spans="1:33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33" ht="18" x14ac:dyDescent="0.2">
      <c r="A2" s="2" t="s">
        <v>1</v>
      </c>
      <c r="B2" s="3" t="s">
        <v>2</v>
      </c>
      <c r="C2" s="3" t="s">
        <v>3</v>
      </c>
      <c r="D2" s="2" t="s">
        <v>4</v>
      </c>
      <c r="E2" s="2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 t="s">
        <v>6</v>
      </c>
    </row>
    <row r="3" spans="1:33" ht="18" x14ac:dyDescent="0.2">
      <c r="A3" s="2">
        <v>-5</v>
      </c>
      <c r="B3" s="2">
        <v>0</v>
      </c>
      <c r="C3" s="2">
        <v>0</v>
      </c>
      <c r="D3" s="2">
        <f>C3-B3</f>
        <v>0</v>
      </c>
      <c r="E3" s="2">
        <f>SUM(E6/8)</f>
        <v>-1</v>
      </c>
      <c r="F3" s="2">
        <f>SUM(F7/16)</f>
        <v>-0.625</v>
      </c>
      <c r="G3" s="2">
        <f>+G8/32</f>
        <v>0</v>
      </c>
      <c r="H3" s="2">
        <f>H9/64</f>
        <v>9.375E-2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4">
        <f t="shared" ref="W3:W66" si="0">SUM(E3:U3)</f>
        <v>-1.53125</v>
      </c>
      <c r="X3" s="7"/>
      <c r="Y3" s="7"/>
      <c r="Z3" s="7"/>
    </row>
    <row r="4" spans="1:33" ht="18" x14ac:dyDescent="0.2">
      <c r="A4" s="2">
        <v>-4</v>
      </c>
      <c r="B4" s="2">
        <v>0</v>
      </c>
      <c r="C4" s="2">
        <v>0</v>
      </c>
      <c r="D4" s="2">
        <f t="shared" ref="D4:D67" si="1">C4-B4</f>
        <v>0</v>
      </c>
      <c r="E4" s="2">
        <f>SUM(E6/4)</f>
        <v>-2</v>
      </c>
      <c r="F4" s="2">
        <f>SUM(F7/8)</f>
        <v>-1.25</v>
      </c>
      <c r="G4" s="2">
        <f>SUM(G8/16)</f>
        <v>0</v>
      </c>
      <c r="H4" s="2">
        <f>H9/32</f>
        <v>0.1875</v>
      </c>
      <c r="I4" s="2">
        <f>I10/64</f>
        <v>6.25E-2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4">
        <f t="shared" si="0"/>
        <v>-3</v>
      </c>
      <c r="X4" s="7"/>
      <c r="Y4" s="7"/>
      <c r="Z4" s="7"/>
    </row>
    <row r="5" spans="1:33" ht="18" x14ac:dyDescent="0.2">
      <c r="A5" s="2">
        <v>-3</v>
      </c>
      <c r="B5" s="2">
        <v>0</v>
      </c>
      <c r="C5" s="2">
        <v>0</v>
      </c>
      <c r="D5" s="2">
        <f t="shared" si="1"/>
        <v>0</v>
      </c>
      <c r="E5" s="2">
        <f>SUM(E6/2)</f>
        <v>-4</v>
      </c>
      <c r="F5" s="2">
        <f>SUM(F7/4)</f>
        <v>-2.5</v>
      </c>
      <c r="G5" s="2">
        <f>SUM(G8/8)</f>
        <v>0</v>
      </c>
      <c r="H5" s="2">
        <f>H9/16</f>
        <v>0.375</v>
      </c>
      <c r="I5" s="2">
        <f>I10/32</f>
        <v>0.125</v>
      </c>
      <c r="J5" s="2">
        <f>J11/64</f>
        <v>9.375E-2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4">
        <f t="shared" si="0"/>
        <v>-5.90625</v>
      </c>
      <c r="X5" s="7"/>
      <c r="Y5" s="7"/>
      <c r="Z5" s="7"/>
    </row>
    <row r="6" spans="1:33" ht="18" x14ac:dyDescent="0.2">
      <c r="A6" s="2">
        <v>-2</v>
      </c>
      <c r="B6" s="2">
        <v>4</v>
      </c>
      <c r="C6" s="2">
        <v>0</v>
      </c>
      <c r="D6" s="2">
        <f t="shared" si="1"/>
        <v>-4</v>
      </c>
      <c r="E6" s="2">
        <f>SUM(D6*2)</f>
        <v>-8</v>
      </c>
      <c r="F6" s="2">
        <f>SUM(F7/2)</f>
        <v>-5</v>
      </c>
      <c r="G6" s="2">
        <f>SUM(G8/4)</f>
        <v>0</v>
      </c>
      <c r="H6" s="2">
        <f>H9/8</f>
        <v>0.75</v>
      </c>
      <c r="I6" s="2">
        <f>I10/16</f>
        <v>0.25</v>
      </c>
      <c r="J6" s="2">
        <f>J11/32</f>
        <v>0.1875</v>
      </c>
      <c r="K6" s="2">
        <f>K12/64</f>
        <v>-3.125E-2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4">
        <f t="shared" si="0"/>
        <v>-11.84375</v>
      </c>
    </row>
    <row r="7" spans="1:33" ht="18" x14ac:dyDescent="0.2">
      <c r="A7" s="2">
        <v>-1</v>
      </c>
      <c r="B7" s="2">
        <v>20</v>
      </c>
      <c r="C7" s="2">
        <v>15</v>
      </c>
      <c r="D7" s="2">
        <f t="shared" si="1"/>
        <v>-5</v>
      </c>
      <c r="E7" s="2">
        <f>SUM(E6/2)</f>
        <v>-4</v>
      </c>
      <c r="F7" s="2">
        <f>SUM(D7*2)</f>
        <v>-10</v>
      </c>
      <c r="G7" s="2">
        <f>SUM(G8/2)</f>
        <v>0</v>
      </c>
      <c r="H7" s="2">
        <f>H9/4</f>
        <v>1.5</v>
      </c>
      <c r="I7" s="2">
        <f>I10/8</f>
        <v>0.5</v>
      </c>
      <c r="J7" s="2">
        <f>J11/16</f>
        <v>0.375</v>
      </c>
      <c r="K7" s="2">
        <f>K12/32</f>
        <v>-6.25E-2</v>
      </c>
      <c r="L7" s="2">
        <f>L13/64</f>
        <v>-0.5</v>
      </c>
      <c r="M7" s="2"/>
      <c r="N7" s="2"/>
      <c r="O7" s="2"/>
      <c r="P7" s="2"/>
      <c r="Q7" s="2"/>
      <c r="R7" s="2"/>
      <c r="S7" s="2"/>
      <c r="T7" s="2"/>
      <c r="U7" s="2"/>
      <c r="V7" s="2"/>
      <c r="W7" s="4">
        <f t="shared" si="0"/>
        <v>-12.1875</v>
      </c>
    </row>
    <row r="8" spans="1:33" ht="18" x14ac:dyDescent="0.2">
      <c r="A8" s="2">
        <v>0</v>
      </c>
      <c r="B8" s="2">
        <v>30</v>
      </c>
      <c r="C8" s="2">
        <v>30</v>
      </c>
      <c r="D8" s="2">
        <f t="shared" si="1"/>
        <v>0</v>
      </c>
      <c r="E8" s="2">
        <f>SUM(E6/4)</f>
        <v>-2</v>
      </c>
      <c r="F8" s="2">
        <f>SUM(F7/2)</f>
        <v>-5</v>
      </c>
      <c r="G8" s="2">
        <f>SUM(D8*2)</f>
        <v>0</v>
      </c>
      <c r="H8" s="2">
        <f>H9/2</f>
        <v>3</v>
      </c>
      <c r="I8" s="2">
        <f>I10/4</f>
        <v>1</v>
      </c>
      <c r="J8" s="2">
        <f>J11/8</f>
        <v>0.75</v>
      </c>
      <c r="K8" s="2">
        <f>K12/16</f>
        <v>-0.125</v>
      </c>
      <c r="L8" s="2">
        <f>L13/32</f>
        <v>-1</v>
      </c>
      <c r="M8" s="2">
        <f>M14/64</f>
        <v>-0.21875</v>
      </c>
      <c r="N8" s="2"/>
      <c r="O8" s="2"/>
      <c r="P8" s="2"/>
      <c r="Q8" s="2"/>
      <c r="R8" s="2"/>
      <c r="S8" s="2"/>
      <c r="T8" s="2"/>
      <c r="U8" s="2"/>
      <c r="V8" s="2"/>
      <c r="W8" s="4">
        <f t="shared" si="0"/>
        <v>-3.59375</v>
      </c>
    </row>
    <row r="9" spans="1:33" ht="18" x14ac:dyDescent="0.2">
      <c r="A9" s="2">
        <v>1</v>
      </c>
      <c r="B9" s="2">
        <v>42</v>
      </c>
      <c r="C9" s="2">
        <v>45</v>
      </c>
      <c r="D9" s="2">
        <f t="shared" si="1"/>
        <v>3</v>
      </c>
      <c r="E9" s="2">
        <f>SUM(E6/8)</f>
        <v>-1</v>
      </c>
      <c r="F9" s="2">
        <f>SUM(F7/4)</f>
        <v>-2.5</v>
      </c>
      <c r="G9" s="2">
        <f>SUM(G8/2)</f>
        <v>0</v>
      </c>
      <c r="H9" s="2">
        <f>SUM(D9*2)</f>
        <v>6</v>
      </c>
      <c r="I9" s="2">
        <f>I10/2</f>
        <v>2</v>
      </c>
      <c r="J9" s="2">
        <f>J11/4</f>
        <v>1.5</v>
      </c>
      <c r="K9" s="2">
        <f>K12/8</f>
        <v>-0.25</v>
      </c>
      <c r="L9" s="2">
        <f>L13/16</f>
        <v>-2</v>
      </c>
      <c r="M9" s="2">
        <f>M14/32</f>
        <v>-0.4375</v>
      </c>
      <c r="N9" s="2">
        <f>N15/64</f>
        <v>-0.40625</v>
      </c>
      <c r="O9" s="2"/>
      <c r="P9" s="2"/>
      <c r="Q9" s="2"/>
      <c r="R9" s="2"/>
      <c r="S9" s="2"/>
      <c r="T9" s="2"/>
      <c r="U9" s="2"/>
      <c r="V9" s="2"/>
      <c r="W9" s="4">
        <f t="shared" si="0"/>
        <v>2.90625</v>
      </c>
    </row>
    <row r="10" spans="1:33" ht="18" x14ac:dyDescent="0.2">
      <c r="A10" s="2">
        <v>2</v>
      </c>
      <c r="B10" s="2">
        <v>58</v>
      </c>
      <c r="C10" s="2">
        <v>60</v>
      </c>
      <c r="D10" s="2">
        <f t="shared" si="1"/>
        <v>2</v>
      </c>
      <c r="E10" s="2">
        <f>SUM(E6/16)</f>
        <v>-0.5</v>
      </c>
      <c r="F10" s="2">
        <f>SUM(F7/8)</f>
        <v>-1.25</v>
      </c>
      <c r="G10" s="2">
        <f>SUM(G8/4)</f>
        <v>0</v>
      </c>
      <c r="H10" s="2">
        <f>SUM(H9/2)</f>
        <v>3</v>
      </c>
      <c r="I10" s="2">
        <f>D10*2</f>
        <v>4</v>
      </c>
      <c r="J10" s="2">
        <f>J11/2</f>
        <v>3</v>
      </c>
      <c r="K10" s="2">
        <f>K12/4</f>
        <v>-0.5</v>
      </c>
      <c r="L10" s="2">
        <f>L13/8</f>
        <v>-4</v>
      </c>
      <c r="M10" s="2">
        <f>M14/16</f>
        <v>-0.875</v>
      </c>
      <c r="N10" s="2">
        <f>N15/32</f>
        <v>-0.8125</v>
      </c>
      <c r="O10" s="2">
        <f>O16/64</f>
        <v>-6.25E-2</v>
      </c>
      <c r="P10" s="2"/>
      <c r="Q10" s="2"/>
      <c r="R10" s="2"/>
      <c r="S10" s="2"/>
      <c r="T10" s="2"/>
      <c r="U10" s="2"/>
      <c r="V10" s="2"/>
      <c r="W10" s="4">
        <f t="shared" si="0"/>
        <v>2</v>
      </c>
      <c r="AG10">
        <v>115</v>
      </c>
    </row>
    <row r="11" spans="1:33" ht="18" x14ac:dyDescent="0.2">
      <c r="A11" s="2">
        <v>3</v>
      </c>
      <c r="B11" s="2">
        <v>72</v>
      </c>
      <c r="C11" s="2">
        <v>75</v>
      </c>
      <c r="D11" s="2">
        <f t="shared" si="1"/>
        <v>3</v>
      </c>
      <c r="E11" s="2">
        <f>SUM(E6/32)</f>
        <v>-0.25</v>
      </c>
      <c r="F11" s="2">
        <f>SUM(F7/16)</f>
        <v>-0.625</v>
      </c>
      <c r="G11" s="2">
        <f>SUM(G8/8)</f>
        <v>0</v>
      </c>
      <c r="H11" s="2">
        <f>SUM(H9/4)</f>
        <v>1.5</v>
      </c>
      <c r="I11" s="2">
        <f>I10/2</f>
        <v>2</v>
      </c>
      <c r="J11" s="2">
        <f>D11*2</f>
        <v>6</v>
      </c>
      <c r="K11" s="2">
        <f>K12/2</f>
        <v>-1</v>
      </c>
      <c r="L11" s="2">
        <f>L13/4</f>
        <v>-8</v>
      </c>
      <c r="M11" s="2">
        <f>M14/8</f>
        <v>-1.75</v>
      </c>
      <c r="N11" s="2">
        <f>N15/16</f>
        <v>-1.625</v>
      </c>
      <c r="O11" s="2">
        <f>O16/32</f>
        <v>-0.125</v>
      </c>
      <c r="P11" s="2">
        <f>P17/64</f>
        <v>0.3125</v>
      </c>
      <c r="Q11" s="2"/>
      <c r="R11" s="2"/>
      <c r="S11" s="2"/>
      <c r="T11" s="2"/>
      <c r="U11" s="2"/>
      <c r="V11" s="2"/>
      <c r="W11" s="4">
        <f t="shared" si="0"/>
        <v>-3.5625</v>
      </c>
      <c r="AG11">
        <v>120</v>
      </c>
    </row>
    <row r="12" spans="1:33" ht="18" x14ac:dyDescent="0.2">
      <c r="A12" s="2">
        <v>4</v>
      </c>
      <c r="B12" s="2">
        <v>91</v>
      </c>
      <c r="C12" s="2">
        <v>90</v>
      </c>
      <c r="D12" s="2">
        <f t="shared" si="1"/>
        <v>-1</v>
      </c>
      <c r="E12" s="2">
        <f>SUM(E6/64)</f>
        <v>-0.125</v>
      </c>
      <c r="F12" s="2">
        <f>SUM(F7/32)</f>
        <v>-0.3125</v>
      </c>
      <c r="G12" s="2">
        <f>SUM(G8/16)</f>
        <v>0</v>
      </c>
      <c r="H12" s="2">
        <f>SUM(H9/8)</f>
        <v>0.75</v>
      </c>
      <c r="I12" s="2">
        <f>I10/4</f>
        <v>1</v>
      </c>
      <c r="J12" s="2">
        <f>J11/2</f>
        <v>3</v>
      </c>
      <c r="K12" s="2">
        <f>D12*2</f>
        <v>-2</v>
      </c>
      <c r="L12" s="2">
        <f>L13/2</f>
        <v>-16</v>
      </c>
      <c r="M12" s="2">
        <f>M14/4</f>
        <v>-3.5</v>
      </c>
      <c r="N12" s="2">
        <f>N15/8</f>
        <v>-3.25</v>
      </c>
      <c r="O12" s="2">
        <f>O16/16</f>
        <v>-0.25</v>
      </c>
      <c r="P12" s="2">
        <f>P17/32</f>
        <v>0.625</v>
      </c>
      <c r="Q12" s="2">
        <f>Q18/64</f>
        <v>0.59375</v>
      </c>
      <c r="R12" s="2"/>
      <c r="S12" s="2"/>
      <c r="T12" s="2"/>
      <c r="U12" s="2"/>
      <c r="V12" s="2"/>
      <c r="W12" s="4">
        <f t="shared" si="0"/>
        <v>-19.46875</v>
      </c>
    </row>
    <row r="13" spans="1:33" ht="18" x14ac:dyDescent="0.2">
      <c r="A13" s="2">
        <v>5</v>
      </c>
      <c r="B13" s="2">
        <v>126</v>
      </c>
      <c r="C13" s="2">
        <v>110</v>
      </c>
      <c r="D13" s="2">
        <f t="shared" si="1"/>
        <v>-16</v>
      </c>
      <c r="E13" s="2"/>
      <c r="F13" s="2">
        <f>F7/64</f>
        <v>-0.15625</v>
      </c>
      <c r="G13" s="2">
        <f>SUM(G8/32)</f>
        <v>0</v>
      </c>
      <c r="H13" s="2">
        <f>SUM(H9/16)</f>
        <v>0.375</v>
      </c>
      <c r="I13" s="2">
        <f>I10/8</f>
        <v>0.5</v>
      </c>
      <c r="J13" s="2">
        <f>J11/4</f>
        <v>1.5</v>
      </c>
      <c r="K13" s="2">
        <f>K12/2</f>
        <v>-1</v>
      </c>
      <c r="L13" s="2">
        <f>D13*2</f>
        <v>-32</v>
      </c>
      <c r="M13" s="2">
        <f>M14/2</f>
        <v>-7</v>
      </c>
      <c r="N13" s="2">
        <f>N15/4</f>
        <v>-6.5</v>
      </c>
      <c r="O13" s="2">
        <f>O16/8</f>
        <v>-0.5</v>
      </c>
      <c r="P13" s="2">
        <f>P17/16</f>
        <v>1.25</v>
      </c>
      <c r="Q13" s="2">
        <f>Q18/32</f>
        <v>1.1875</v>
      </c>
      <c r="R13" s="2">
        <f>R19/64</f>
        <v>0.3125</v>
      </c>
      <c r="S13" s="2"/>
      <c r="T13" s="2"/>
      <c r="U13" s="2"/>
      <c r="V13" s="2"/>
      <c r="W13" s="4">
        <f t="shared" si="0"/>
        <v>-42.03125</v>
      </c>
    </row>
    <row r="14" spans="1:33" ht="18" x14ac:dyDescent="0.2">
      <c r="A14" s="2">
        <v>6</v>
      </c>
      <c r="B14" s="2">
        <v>122</v>
      </c>
      <c r="C14" s="2">
        <v>115</v>
      </c>
      <c r="D14" s="2">
        <f t="shared" si="1"/>
        <v>-7</v>
      </c>
      <c r="E14" s="2"/>
      <c r="F14" s="2"/>
      <c r="G14" s="2">
        <f>G8/64</f>
        <v>0</v>
      </c>
      <c r="H14" s="2">
        <f>SUM(H9/32)</f>
        <v>0.1875</v>
      </c>
      <c r="I14" s="2">
        <f>I10/16</f>
        <v>0.25</v>
      </c>
      <c r="J14" s="2">
        <f>J11/8</f>
        <v>0.75</v>
      </c>
      <c r="K14" s="2">
        <f>K12/4</f>
        <v>-0.5</v>
      </c>
      <c r="L14" s="2">
        <f>L13/2</f>
        <v>-16</v>
      </c>
      <c r="M14" s="2">
        <f>D14*2</f>
        <v>-14</v>
      </c>
      <c r="N14" s="2">
        <f>N15/2</f>
        <v>-13</v>
      </c>
      <c r="O14" s="2">
        <f>O16/4</f>
        <v>-1</v>
      </c>
      <c r="P14" s="2">
        <f>P17/8</f>
        <v>2.5</v>
      </c>
      <c r="Q14" s="2">
        <f>Q18/16</f>
        <v>2.375</v>
      </c>
      <c r="R14" s="2">
        <f>R19/32</f>
        <v>0.625</v>
      </c>
      <c r="S14" s="2">
        <f>S20/64</f>
        <v>-0.125</v>
      </c>
      <c r="T14" s="2"/>
      <c r="U14" s="2"/>
      <c r="V14" s="2"/>
      <c r="W14" s="4">
        <f t="shared" si="0"/>
        <v>-37.9375</v>
      </c>
    </row>
    <row r="15" spans="1:33" ht="18" x14ac:dyDescent="0.2">
      <c r="A15" s="2">
        <v>7</v>
      </c>
      <c r="B15" s="2">
        <v>113</v>
      </c>
      <c r="C15" s="2">
        <v>100</v>
      </c>
      <c r="D15" s="2">
        <f t="shared" si="1"/>
        <v>-13</v>
      </c>
      <c r="E15" s="2"/>
      <c r="F15" s="2"/>
      <c r="G15" s="2"/>
      <c r="H15" s="2">
        <f>H9/64</f>
        <v>9.375E-2</v>
      </c>
      <c r="I15" s="2">
        <f>I10/32</f>
        <v>0.125</v>
      </c>
      <c r="J15" s="2">
        <f>J11/16</f>
        <v>0.375</v>
      </c>
      <c r="K15" s="2">
        <f>K12/8</f>
        <v>-0.25</v>
      </c>
      <c r="L15" s="2">
        <f>L13/4</f>
        <v>-8</v>
      </c>
      <c r="M15" s="2">
        <f>M14/2</f>
        <v>-7</v>
      </c>
      <c r="N15" s="2">
        <f>D15*2</f>
        <v>-26</v>
      </c>
      <c r="O15" s="2">
        <f>O16/2</f>
        <v>-2</v>
      </c>
      <c r="P15" s="2">
        <f>P17/4</f>
        <v>5</v>
      </c>
      <c r="Q15" s="2">
        <f>Q18/8</f>
        <v>4.75</v>
      </c>
      <c r="R15" s="2">
        <f>R19/16</f>
        <v>1.25</v>
      </c>
      <c r="S15" s="2">
        <f>S20/32</f>
        <v>-0.25</v>
      </c>
      <c r="T15" s="2">
        <f>T21/64</f>
        <v>-9.375E-2</v>
      </c>
      <c r="U15" s="2"/>
      <c r="V15" s="2"/>
      <c r="W15" s="4">
        <f t="shared" si="0"/>
        <v>-32</v>
      </c>
    </row>
    <row r="16" spans="1:33" ht="18" x14ac:dyDescent="0.2">
      <c r="A16" s="2">
        <v>8</v>
      </c>
      <c r="B16" s="2">
        <v>92</v>
      </c>
      <c r="C16" s="2">
        <v>90</v>
      </c>
      <c r="D16" s="2">
        <f t="shared" si="1"/>
        <v>-2</v>
      </c>
      <c r="E16" s="2"/>
      <c r="F16" s="2"/>
      <c r="G16" s="2"/>
      <c r="H16" s="2"/>
      <c r="I16" s="2">
        <f>I10/64</f>
        <v>6.25E-2</v>
      </c>
      <c r="J16" s="2">
        <f>J11/32</f>
        <v>0.1875</v>
      </c>
      <c r="K16" s="2">
        <f>K12/16</f>
        <v>-0.125</v>
      </c>
      <c r="L16" s="2">
        <f>L13/8</f>
        <v>-4</v>
      </c>
      <c r="M16" s="2">
        <f>M14/4</f>
        <v>-3.5</v>
      </c>
      <c r="N16" s="2">
        <f>N15/2</f>
        <v>-13</v>
      </c>
      <c r="O16" s="2">
        <f>D16*2</f>
        <v>-4</v>
      </c>
      <c r="P16" s="2">
        <f>P17/2</f>
        <v>10</v>
      </c>
      <c r="Q16" s="2">
        <f>Q18/4</f>
        <v>9.5</v>
      </c>
      <c r="R16" s="2">
        <f>R19/8</f>
        <v>2.5</v>
      </c>
      <c r="S16" s="2">
        <f>S20/16</f>
        <v>-0.5</v>
      </c>
      <c r="T16" s="2">
        <f>T21/32</f>
        <v>-0.1875</v>
      </c>
      <c r="U16" s="2">
        <f>U22/64</f>
        <v>-9.375E-2</v>
      </c>
      <c r="V16" s="2"/>
      <c r="W16" s="4">
        <f t="shared" si="0"/>
        <v>-3.15625</v>
      </c>
    </row>
    <row r="17" spans="1:23" ht="18" x14ac:dyDescent="0.2">
      <c r="A17" s="2">
        <v>9</v>
      </c>
      <c r="B17" s="2">
        <v>80</v>
      </c>
      <c r="C17" s="2">
        <v>90</v>
      </c>
      <c r="D17" s="2">
        <f t="shared" si="1"/>
        <v>10</v>
      </c>
      <c r="E17" s="2">
        <f>E23/64</f>
        <v>3.125E-2</v>
      </c>
      <c r="F17" s="2"/>
      <c r="G17" s="2"/>
      <c r="H17" s="2"/>
      <c r="I17" s="2"/>
      <c r="J17" s="2">
        <f>J11/64</f>
        <v>9.375E-2</v>
      </c>
      <c r="K17" s="2">
        <f>K12/32</f>
        <v>-6.25E-2</v>
      </c>
      <c r="L17" s="2">
        <f>L13/16</f>
        <v>-2</v>
      </c>
      <c r="M17" s="2">
        <f>M14/8</f>
        <v>-1.75</v>
      </c>
      <c r="N17" s="2">
        <f>N15/4</f>
        <v>-6.5</v>
      </c>
      <c r="O17" s="2">
        <f>O16/2</f>
        <v>-2</v>
      </c>
      <c r="P17" s="2">
        <f>D17*2</f>
        <v>20</v>
      </c>
      <c r="Q17" s="2">
        <f>Q18/2</f>
        <v>19</v>
      </c>
      <c r="R17" s="2">
        <f>R19/4</f>
        <v>5</v>
      </c>
      <c r="S17" s="2">
        <f>S20/8</f>
        <v>-1</v>
      </c>
      <c r="T17" s="2">
        <f>T21/16</f>
        <v>-0.375</v>
      </c>
      <c r="U17" s="2">
        <f>U22/32</f>
        <v>-0.1875</v>
      </c>
      <c r="V17" s="2">
        <f>V23/64</f>
        <v>6.25E-2</v>
      </c>
      <c r="W17" s="4">
        <f t="shared" si="0"/>
        <v>30.25</v>
      </c>
    </row>
    <row r="18" spans="1:23" ht="18" x14ac:dyDescent="0.2">
      <c r="A18" s="2">
        <v>10</v>
      </c>
      <c r="B18" s="2">
        <v>71</v>
      </c>
      <c r="C18" s="2">
        <v>90</v>
      </c>
      <c r="D18" s="2">
        <f t="shared" si="1"/>
        <v>19</v>
      </c>
      <c r="E18" s="2">
        <f>E23/32</f>
        <v>6.25E-2</v>
      </c>
      <c r="F18" s="2">
        <f>F24/64</f>
        <v>0.15625</v>
      </c>
      <c r="G18" s="2"/>
      <c r="H18" s="2"/>
      <c r="I18" s="2"/>
      <c r="J18" s="2"/>
      <c r="K18" s="2">
        <f>K12/64</f>
        <v>-3.125E-2</v>
      </c>
      <c r="L18" s="2">
        <f>L13/32</f>
        <v>-1</v>
      </c>
      <c r="M18" s="2">
        <f>M14/16</f>
        <v>-0.875</v>
      </c>
      <c r="N18" s="2">
        <f>N15/8</f>
        <v>-3.25</v>
      </c>
      <c r="O18" s="2">
        <f>O16/4</f>
        <v>-1</v>
      </c>
      <c r="P18" s="2">
        <f>P17/2</f>
        <v>10</v>
      </c>
      <c r="Q18" s="2">
        <f>D18*2</f>
        <v>38</v>
      </c>
      <c r="R18" s="2">
        <f>R19/2</f>
        <v>10</v>
      </c>
      <c r="S18" s="2">
        <f>S20/4</f>
        <v>-2</v>
      </c>
      <c r="T18" s="2">
        <f>T21/8</f>
        <v>-0.75</v>
      </c>
      <c r="U18" s="2">
        <f>U22/16</f>
        <v>-0.375</v>
      </c>
      <c r="V18" s="2">
        <f>V23/32</f>
        <v>0.125</v>
      </c>
      <c r="W18" s="4">
        <f t="shared" si="0"/>
        <v>48.9375</v>
      </c>
    </row>
    <row r="19" spans="1:23" ht="18" x14ac:dyDescent="0.2">
      <c r="A19" s="2">
        <v>11</v>
      </c>
      <c r="B19" s="2">
        <v>80</v>
      </c>
      <c r="C19" s="2">
        <v>90</v>
      </c>
      <c r="D19" s="2">
        <f t="shared" si="1"/>
        <v>10</v>
      </c>
      <c r="E19" s="2">
        <f>E23/16</f>
        <v>0.125</v>
      </c>
      <c r="F19" s="2">
        <f>F24/32</f>
        <v>0.3125</v>
      </c>
      <c r="G19" s="2">
        <f>G25/64</f>
        <v>-3.125E-2</v>
      </c>
      <c r="H19" s="2"/>
      <c r="I19" s="2"/>
      <c r="J19" s="2"/>
      <c r="K19" s="2"/>
      <c r="L19" s="2">
        <f>L13/64</f>
        <v>-0.5</v>
      </c>
      <c r="M19" s="2">
        <f>M14/32</f>
        <v>-0.4375</v>
      </c>
      <c r="N19" s="2">
        <f>N15/16</f>
        <v>-1.625</v>
      </c>
      <c r="O19" s="2">
        <f>O16/8</f>
        <v>-0.5</v>
      </c>
      <c r="P19" s="2">
        <f>P17/4</f>
        <v>5</v>
      </c>
      <c r="Q19" s="2">
        <f>Q18/2</f>
        <v>19</v>
      </c>
      <c r="R19" s="2">
        <f>D19*2</f>
        <v>20</v>
      </c>
      <c r="S19" s="2">
        <f>S20/2</f>
        <v>-4</v>
      </c>
      <c r="T19" s="2">
        <f>T21/4</f>
        <v>-1.5</v>
      </c>
      <c r="U19" s="2">
        <f>U22/8</f>
        <v>-0.75</v>
      </c>
      <c r="V19" s="2">
        <f>V23/16</f>
        <v>0.25</v>
      </c>
      <c r="W19" s="4">
        <f t="shared" si="0"/>
        <v>35.09375</v>
      </c>
    </row>
    <row r="20" spans="1:23" ht="18" x14ac:dyDescent="0.2">
      <c r="A20" s="2">
        <v>12</v>
      </c>
      <c r="B20" s="2">
        <v>118</v>
      </c>
      <c r="C20" s="2">
        <v>114</v>
      </c>
      <c r="D20" s="2">
        <f t="shared" si="1"/>
        <v>-4</v>
      </c>
      <c r="E20" s="2">
        <f>E23/8</f>
        <v>0.25</v>
      </c>
      <c r="F20" s="2">
        <f>F24/16</f>
        <v>0.625</v>
      </c>
      <c r="G20" s="2">
        <f>G25/32</f>
        <v>-6.25E-2</v>
      </c>
      <c r="H20" s="2">
        <f>H26/64</f>
        <v>-3.125E-2</v>
      </c>
      <c r="I20" s="2"/>
      <c r="J20" s="2"/>
      <c r="K20" s="2"/>
      <c r="L20" s="2"/>
      <c r="M20" s="2">
        <f>M14/64</f>
        <v>-0.21875</v>
      </c>
      <c r="N20" s="2">
        <f>N15/32</f>
        <v>-0.8125</v>
      </c>
      <c r="O20" s="2">
        <f>O16/16</f>
        <v>-0.25</v>
      </c>
      <c r="P20" s="2">
        <f>P17/8</f>
        <v>2.5</v>
      </c>
      <c r="Q20" s="2">
        <f>Q18/4</f>
        <v>9.5</v>
      </c>
      <c r="R20" s="2">
        <f>R19/2</f>
        <v>10</v>
      </c>
      <c r="S20" s="2">
        <f>D20*2</f>
        <v>-8</v>
      </c>
      <c r="T20" s="2">
        <f>T21/2</f>
        <v>-3</v>
      </c>
      <c r="U20" s="2">
        <f>U22/4</f>
        <v>-1.5</v>
      </c>
      <c r="V20" s="2">
        <f>V23/8</f>
        <v>0.5</v>
      </c>
      <c r="W20" s="4">
        <f t="shared" si="0"/>
        <v>9</v>
      </c>
    </row>
    <row r="21" spans="1:23" ht="18" x14ac:dyDescent="0.2">
      <c r="A21" s="2">
        <v>13</v>
      </c>
      <c r="B21" s="2">
        <v>128</v>
      </c>
      <c r="C21" s="2">
        <v>125</v>
      </c>
      <c r="D21" s="2">
        <f t="shared" si="1"/>
        <v>-3</v>
      </c>
      <c r="E21" s="2">
        <f>E23/4</f>
        <v>0.5</v>
      </c>
      <c r="F21" s="2">
        <f>F24/8</f>
        <v>1.25</v>
      </c>
      <c r="G21" s="2">
        <f>G25/16</f>
        <v>-0.125</v>
      </c>
      <c r="H21" s="2">
        <f>H26/32</f>
        <v>-6.25E-2</v>
      </c>
      <c r="I21" s="2">
        <f>I27/64</f>
        <v>0</v>
      </c>
      <c r="J21" s="2"/>
      <c r="K21" s="2"/>
      <c r="L21" s="2"/>
      <c r="M21" s="2"/>
      <c r="N21" s="2">
        <f>N15/64</f>
        <v>-0.40625</v>
      </c>
      <c r="O21" s="2">
        <f>O16/32</f>
        <v>-0.125</v>
      </c>
      <c r="P21" s="2">
        <f>P17/16</f>
        <v>1.25</v>
      </c>
      <c r="Q21" s="2">
        <f>Q18/8</f>
        <v>4.75</v>
      </c>
      <c r="R21" s="2">
        <f>R19/4</f>
        <v>5</v>
      </c>
      <c r="S21" s="2">
        <f>S20/2</f>
        <v>-4</v>
      </c>
      <c r="T21" s="2">
        <f>D21*2</f>
        <v>-6</v>
      </c>
      <c r="U21" s="2">
        <f>U22/2</f>
        <v>-3</v>
      </c>
      <c r="V21" s="2">
        <f>V23/4</f>
        <v>1</v>
      </c>
      <c r="W21" s="4">
        <f t="shared" si="0"/>
        <v>-0.96875</v>
      </c>
    </row>
    <row r="22" spans="1:23" ht="18" x14ac:dyDescent="0.2">
      <c r="A22" s="2">
        <v>14</v>
      </c>
      <c r="B22" s="2">
        <v>133</v>
      </c>
      <c r="C22" s="2">
        <v>130</v>
      </c>
      <c r="D22" s="2">
        <f t="shared" si="1"/>
        <v>-3</v>
      </c>
      <c r="E22" s="2">
        <f>E23/2</f>
        <v>1</v>
      </c>
      <c r="F22" s="2">
        <f>F24/4</f>
        <v>2.5</v>
      </c>
      <c r="G22" s="2">
        <f>G25/8</f>
        <v>-0.25</v>
      </c>
      <c r="H22" s="2">
        <f>H26/16</f>
        <v>-0.125</v>
      </c>
      <c r="I22" s="2">
        <f>I27/32</f>
        <v>0</v>
      </c>
      <c r="J22" s="2">
        <f>J28/64</f>
        <v>0.3125</v>
      </c>
      <c r="K22" s="2"/>
      <c r="L22" s="2"/>
      <c r="M22" s="2"/>
      <c r="N22" s="2"/>
      <c r="O22" s="2">
        <f>O16/64</f>
        <v>-6.25E-2</v>
      </c>
      <c r="P22" s="2">
        <f>P17/32</f>
        <v>0.625</v>
      </c>
      <c r="Q22" s="2">
        <f>Q18/16</f>
        <v>2.375</v>
      </c>
      <c r="R22" s="2">
        <f>R19/8</f>
        <v>2.5</v>
      </c>
      <c r="S22" s="2">
        <f>S20/4</f>
        <v>-2</v>
      </c>
      <c r="T22" s="2">
        <f>T21/2</f>
        <v>-3</v>
      </c>
      <c r="U22" s="2">
        <f>D22*2</f>
        <v>-6</v>
      </c>
      <c r="V22" s="2">
        <f>V23/2</f>
        <v>2</v>
      </c>
      <c r="W22" s="4">
        <f t="shared" si="0"/>
        <v>-2.125</v>
      </c>
    </row>
    <row r="23" spans="1:23" ht="18" x14ac:dyDescent="0.2">
      <c r="A23" s="2">
        <v>15</v>
      </c>
      <c r="B23" s="2">
        <v>129</v>
      </c>
      <c r="C23" s="2">
        <v>130</v>
      </c>
      <c r="D23" s="2">
        <f t="shared" si="1"/>
        <v>1</v>
      </c>
      <c r="E23" s="2">
        <f>D23*2</f>
        <v>2</v>
      </c>
      <c r="F23" s="2">
        <f>F24/2</f>
        <v>5</v>
      </c>
      <c r="G23" s="2">
        <f>G25/4</f>
        <v>-0.5</v>
      </c>
      <c r="H23" s="2">
        <f>H26/8</f>
        <v>-0.25</v>
      </c>
      <c r="I23" s="2">
        <f>I27/16</f>
        <v>0</v>
      </c>
      <c r="J23" s="2">
        <f>J28/32</f>
        <v>0.625</v>
      </c>
      <c r="K23" s="2">
        <f>K29/64</f>
        <v>0.1875</v>
      </c>
      <c r="L23" s="2"/>
      <c r="M23" s="2"/>
      <c r="N23" s="2"/>
      <c r="O23" s="2"/>
      <c r="P23" s="2">
        <f>P16/64</f>
        <v>0.15625</v>
      </c>
      <c r="Q23" s="2">
        <f>Q18/32</f>
        <v>1.1875</v>
      </c>
      <c r="R23" s="2">
        <f>R19/16</f>
        <v>1.25</v>
      </c>
      <c r="S23" s="2">
        <f>S20/8</f>
        <v>-1</v>
      </c>
      <c r="T23" s="2">
        <f>T21/4</f>
        <v>-1.5</v>
      </c>
      <c r="U23" s="2">
        <f>U22/2</f>
        <v>-3</v>
      </c>
      <c r="V23" s="2">
        <f>E23*2</f>
        <v>4</v>
      </c>
      <c r="W23" s="4">
        <f t="shared" si="0"/>
        <v>4.15625</v>
      </c>
    </row>
    <row r="24" spans="1:23" ht="18" x14ac:dyDescent="0.2">
      <c r="A24" s="2">
        <v>16</v>
      </c>
      <c r="B24" s="2">
        <v>120</v>
      </c>
      <c r="C24" s="2">
        <v>125</v>
      </c>
      <c r="D24" s="2">
        <f t="shared" si="1"/>
        <v>5</v>
      </c>
      <c r="E24" s="2">
        <f>E23/2</f>
        <v>1</v>
      </c>
      <c r="F24" s="2">
        <f>D24*2</f>
        <v>10</v>
      </c>
      <c r="G24" s="2">
        <f>G25/2</f>
        <v>-1</v>
      </c>
      <c r="H24" s="2">
        <f>H26/4</f>
        <v>-0.5</v>
      </c>
      <c r="I24" s="2">
        <f>I27/8</f>
        <v>0</v>
      </c>
      <c r="J24" s="2">
        <f>J28/16</f>
        <v>1.25</v>
      </c>
      <c r="K24" s="2">
        <f>K29/32</f>
        <v>0.375</v>
      </c>
      <c r="L24" s="2">
        <f>L30/64</f>
        <v>0.15625</v>
      </c>
      <c r="M24" s="2"/>
      <c r="N24" s="2"/>
      <c r="O24" s="2"/>
      <c r="P24" s="2"/>
      <c r="Q24" s="2">
        <f>Q18/64</f>
        <v>0.59375</v>
      </c>
      <c r="R24" s="2">
        <f>R19/32</f>
        <v>0.625</v>
      </c>
      <c r="S24" s="2">
        <f>S20/16</f>
        <v>-0.5</v>
      </c>
      <c r="T24" s="2">
        <f>T21/8</f>
        <v>-0.75</v>
      </c>
      <c r="U24" s="2">
        <f>U22/4</f>
        <v>-1.5</v>
      </c>
      <c r="V24" s="2">
        <f>V23/2</f>
        <v>2</v>
      </c>
      <c r="W24" s="4">
        <f t="shared" si="0"/>
        <v>9.75</v>
      </c>
    </row>
    <row r="25" spans="1:23" ht="18" x14ac:dyDescent="0.2">
      <c r="A25" s="2">
        <v>17</v>
      </c>
      <c r="B25" s="2">
        <v>126</v>
      </c>
      <c r="C25" s="2">
        <v>125</v>
      </c>
      <c r="D25" s="2">
        <f t="shared" si="1"/>
        <v>-1</v>
      </c>
      <c r="E25" s="2">
        <f>E23/4</f>
        <v>0.5</v>
      </c>
      <c r="F25" s="2">
        <f>F24/2</f>
        <v>5</v>
      </c>
      <c r="G25" s="2">
        <f>D25*2</f>
        <v>-2</v>
      </c>
      <c r="H25" s="2">
        <f>H26/2</f>
        <v>-1</v>
      </c>
      <c r="I25" s="2">
        <f>I27/4</f>
        <v>0</v>
      </c>
      <c r="J25" s="2">
        <f>J28/8</f>
        <v>2.5</v>
      </c>
      <c r="K25" s="2">
        <f>K29/16</f>
        <v>0.75</v>
      </c>
      <c r="L25" s="2">
        <f>L30/32</f>
        <v>0.3125</v>
      </c>
      <c r="M25" s="2">
        <f>M31/64</f>
        <v>-0.1875</v>
      </c>
      <c r="N25" s="2"/>
      <c r="O25" s="2"/>
      <c r="P25" s="2"/>
      <c r="Q25" s="2"/>
      <c r="R25" s="2">
        <f>R19/64</f>
        <v>0.3125</v>
      </c>
      <c r="S25" s="2">
        <f>S20/32</f>
        <v>-0.25</v>
      </c>
      <c r="T25" s="2">
        <f>T21/16</f>
        <v>-0.375</v>
      </c>
      <c r="U25" s="2">
        <f>U22/8</f>
        <v>-0.75</v>
      </c>
      <c r="V25" s="2">
        <f>V23/4</f>
        <v>1</v>
      </c>
      <c r="W25" s="4">
        <f t="shared" si="0"/>
        <v>4.8125</v>
      </c>
    </row>
    <row r="26" spans="1:23" ht="18" x14ac:dyDescent="0.2">
      <c r="A26" s="2">
        <v>18</v>
      </c>
      <c r="B26" s="2">
        <v>126</v>
      </c>
      <c r="C26" s="2">
        <v>125</v>
      </c>
      <c r="D26" s="2">
        <f t="shared" si="1"/>
        <v>-1</v>
      </c>
      <c r="E26" s="2">
        <f>E23/8</f>
        <v>0.25</v>
      </c>
      <c r="F26" s="2">
        <f>F24/4</f>
        <v>2.5</v>
      </c>
      <c r="G26" s="2">
        <f>G25/2</f>
        <v>-1</v>
      </c>
      <c r="H26" s="2">
        <f>D26*2</f>
        <v>-2</v>
      </c>
      <c r="I26" s="2">
        <f>I27/2</f>
        <v>0</v>
      </c>
      <c r="J26" s="2">
        <f>J28/4</f>
        <v>5</v>
      </c>
      <c r="K26" s="2">
        <f>K29/8</f>
        <v>1.5</v>
      </c>
      <c r="L26" s="2">
        <f>L30/16</f>
        <v>0.625</v>
      </c>
      <c r="M26" s="2">
        <f>M31/32</f>
        <v>-0.375</v>
      </c>
      <c r="N26" s="2">
        <f>N32/64</f>
        <v>-0.1875</v>
      </c>
      <c r="O26" s="2"/>
      <c r="P26" s="2"/>
      <c r="Q26" s="2"/>
      <c r="R26" s="2"/>
      <c r="S26" s="2">
        <f>S20/64</f>
        <v>-0.125</v>
      </c>
      <c r="T26" s="2">
        <f>T21/32</f>
        <v>-0.1875</v>
      </c>
      <c r="U26" s="2">
        <f>U22/16</f>
        <v>-0.375</v>
      </c>
      <c r="V26" s="2">
        <f>V23/8</f>
        <v>0.5</v>
      </c>
      <c r="W26" s="4">
        <f t="shared" si="0"/>
        <v>5.625</v>
      </c>
    </row>
    <row r="27" spans="1:23" ht="18" x14ac:dyDescent="0.2">
      <c r="A27" s="2">
        <v>19</v>
      </c>
      <c r="B27" s="2">
        <v>110</v>
      </c>
      <c r="C27" s="2">
        <v>110</v>
      </c>
      <c r="D27" s="2">
        <f t="shared" si="1"/>
        <v>0</v>
      </c>
      <c r="E27" s="2">
        <f>E23/16</f>
        <v>0.125</v>
      </c>
      <c r="F27" s="2">
        <f>F24/8</f>
        <v>1.25</v>
      </c>
      <c r="G27" s="2">
        <f>G25/4</f>
        <v>-0.5</v>
      </c>
      <c r="H27" s="2">
        <f>H26/2</f>
        <v>-1</v>
      </c>
      <c r="I27" s="2">
        <f>D27*2</f>
        <v>0</v>
      </c>
      <c r="J27" s="2">
        <f>J28/2</f>
        <v>10</v>
      </c>
      <c r="K27" s="2">
        <f>K29/4</f>
        <v>3</v>
      </c>
      <c r="L27" s="2">
        <f>L30/8</f>
        <v>1.25</v>
      </c>
      <c r="M27" s="2">
        <f>M31/16</f>
        <v>-0.75</v>
      </c>
      <c r="N27" s="2">
        <f>N32/32</f>
        <v>-0.375</v>
      </c>
      <c r="O27" s="2">
        <f>O33/64</f>
        <v>0</v>
      </c>
      <c r="P27" s="2"/>
      <c r="Q27" s="2"/>
      <c r="R27" s="2"/>
      <c r="S27" s="2"/>
      <c r="T27" s="2">
        <f>T21/64</f>
        <v>-9.375E-2</v>
      </c>
      <c r="U27" s="2">
        <f>U22/32</f>
        <v>-0.1875</v>
      </c>
      <c r="V27" s="2">
        <f>V23/16</f>
        <v>0.25</v>
      </c>
      <c r="W27" s="4">
        <f t="shared" si="0"/>
        <v>12.71875</v>
      </c>
    </row>
    <row r="28" spans="1:23" ht="18" x14ac:dyDescent="0.2">
      <c r="A28" s="2">
        <v>20</v>
      </c>
      <c r="B28" s="2">
        <v>100</v>
      </c>
      <c r="C28" s="2">
        <v>110</v>
      </c>
      <c r="D28" s="2">
        <f t="shared" si="1"/>
        <v>10</v>
      </c>
      <c r="E28" s="2">
        <f>E23/32</f>
        <v>6.25E-2</v>
      </c>
      <c r="F28" s="2">
        <f>F24/16</f>
        <v>0.625</v>
      </c>
      <c r="G28" s="2">
        <f>G25/8</f>
        <v>-0.25</v>
      </c>
      <c r="H28" s="2">
        <f>H26/4</f>
        <v>-0.5</v>
      </c>
      <c r="I28" s="2">
        <f>I27/2</f>
        <v>0</v>
      </c>
      <c r="J28" s="2">
        <f>D28*2</f>
        <v>20</v>
      </c>
      <c r="K28" s="2">
        <f>K29/2</f>
        <v>6</v>
      </c>
      <c r="L28" s="2">
        <f>L30/4</f>
        <v>2.5</v>
      </c>
      <c r="M28" s="2">
        <f>M31/8</f>
        <v>-1.5</v>
      </c>
      <c r="N28" s="2">
        <f>N32/16</f>
        <v>-0.75</v>
      </c>
      <c r="O28" s="2">
        <f>O33/32</f>
        <v>0</v>
      </c>
      <c r="P28" s="2">
        <f>P34/64</f>
        <v>0.1875</v>
      </c>
      <c r="Q28" s="2"/>
      <c r="R28" s="2"/>
      <c r="S28" s="2"/>
      <c r="T28" s="2"/>
      <c r="U28" s="2">
        <f>U22/64</f>
        <v>-9.375E-2</v>
      </c>
      <c r="V28" s="2">
        <f>V23/32</f>
        <v>0.125</v>
      </c>
      <c r="W28" s="4">
        <f t="shared" si="0"/>
        <v>26.28125</v>
      </c>
    </row>
    <row r="29" spans="1:23" ht="18" x14ac:dyDescent="0.2">
      <c r="A29" s="2">
        <v>21</v>
      </c>
      <c r="B29" s="2">
        <v>104</v>
      </c>
      <c r="C29" s="2">
        <v>110</v>
      </c>
      <c r="D29" s="2">
        <f t="shared" si="1"/>
        <v>6</v>
      </c>
      <c r="E29" s="2">
        <f>E23/64</f>
        <v>3.125E-2</v>
      </c>
      <c r="F29" s="2">
        <f>F24/32</f>
        <v>0.3125</v>
      </c>
      <c r="G29" s="2">
        <f>G25/16</f>
        <v>-0.125</v>
      </c>
      <c r="H29" s="2">
        <f>H26/8</f>
        <v>-0.25</v>
      </c>
      <c r="I29" s="2">
        <f>I27/4</f>
        <v>0</v>
      </c>
      <c r="J29" s="2">
        <f>J28/2</f>
        <v>10</v>
      </c>
      <c r="K29" s="2">
        <f>D29*2</f>
        <v>12</v>
      </c>
      <c r="L29" s="2">
        <f>L30/2</f>
        <v>5</v>
      </c>
      <c r="M29" s="2">
        <f>M31/4</f>
        <v>-3</v>
      </c>
      <c r="N29" s="2">
        <f>N32/8</f>
        <v>-1.5</v>
      </c>
      <c r="O29" s="2">
        <f>O33/16</f>
        <v>0</v>
      </c>
      <c r="P29" s="2">
        <f>P34/32</f>
        <v>0.375</v>
      </c>
      <c r="Q29" s="2">
        <f>Q35/64</f>
        <v>0</v>
      </c>
      <c r="R29" s="2"/>
      <c r="S29" s="2"/>
      <c r="T29" s="2"/>
      <c r="U29" s="2"/>
      <c r="V29" s="2">
        <f>V23/64</f>
        <v>6.25E-2</v>
      </c>
      <c r="W29" s="4">
        <f t="shared" si="0"/>
        <v>22.84375</v>
      </c>
    </row>
    <row r="30" spans="1:23" ht="18" x14ac:dyDescent="0.2">
      <c r="A30" s="2">
        <v>22</v>
      </c>
      <c r="B30" s="2">
        <v>105</v>
      </c>
      <c r="C30" s="2">
        <v>110</v>
      </c>
      <c r="D30" s="2">
        <f t="shared" si="1"/>
        <v>5</v>
      </c>
      <c r="E30" s="2"/>
      <c r="F30" s="2">
        <f>F24/64</f>
        <v>0.15625</v>
      </c>
      <c r="G30" s="2">
        <f>G25/32</f>
        <v>-6.25E-2</v>
      </c>
      <c r="H30" s="2">
        <f>H26/16</f>
        <v>-0.125</v>
      </c>
      <c r="I30" s="2">
        <f>I27/8</f>
        <v>0</v>
      </c>
      <c r="J30" s="2">
        <f>J28/4</f>
        <v>5</v>
      </c>
      <c r="K30" s="2">
        <f>K29/2</f>
        <v>6</v>
      </c>
      <c r="L30" s="2">
        <f>D30*2</f>
        <v>10</v>
      </c>
      <c r="M30" s="2">
        <f>M31/2</f>
        <v>-6</v>
      </c>
      <c r="N30" s="2">
        <f>N32/4</f>
        <v>-3</v>
      </c>
      <c r="O30" s="2">
        <f>O33/8</f>
        <v>0</v>
      </c>
      <c r="P30" s="2">
        <f>P34/16</f>
        <v>0.75</v>
      </c>
      <c r="Q30" s="2">
        <f>Q35/32</f>
        <v>0</v>
      </c>
      <c r="R30" s="2">
        <f>R36/64</f>
        <v>6.25E-2</v>
      </c>
      <c r="S30" s="2"/>
      <c r="T30" s="2"/>
      <c r="U30" s="2"/>
      <c r="V30" s="2"/>
      <c r="W30" s="4">
        <f t="shared" si="0"/>
        <v>12.78125</v>
      </c>
    </row>
    <row r="31" spans="1:23" ht="18" x14ac:dyDescent="0.2">
      <c r="A31" s="2">
        <v>23</v>
      </c>
      <c r="B31" s="2">
        <v>116</v>
      </c>
      <c r="C31" s="2">
        <v>110</v>
      </c>
      <c r="D31" s="2">
        <f t="shared" si="1"/>
        <v>-6</v>
      </c>
      <c r="E31" s="2"/>
      <c r="F31" s="2"/>
      <c r="G31" s="2">
        <f>G25/64</f>
        <v>-3.125E-2</v>
      </c>
      <c r="H31" s="2">
        <f>H26/32</f>
        <v>-6.25E-2</v>
      </c>
      <c r="I31" s="2">
        <f>I27/16</f>
        <v>0</v>
      </c>
      <c r="J31" s="2">
        <f>J28/8</f>
        <v>2.5</v>
      </c>
      <c r="K31" s="2">
        <f>K29/4</f>
        <v>3</v>
      </c>
      <c r="L31" s="2">
        <f>L30/2</f>
        <v>5</v>
      </c>
      <c r="M31" s="2">
        <f>D31*2</f>
        <v>-12</v>
      </c>
      <c r="N31" s="2">
        <f>N32/2</f>
        <v>-6</v>
      </c>
      <c r="O31" s="2">
        <f>O33/4</f>
        <v>0</v>
      </c>
      <c r="P31" s="2">
        <f>P34/8</f>
        <v>1.5</v>
      </c>
      <c r="Q31" s="2">
        <f>Q35/16</f>
        <v>0</v>
      </c>
      <c r="R31" s="2">
        <f>R36/32</f>
        <v>0.125</v>
      </c>
      <c r="S31" s="2">
        <f>S37/64</f>
        <v>-0.125</v>
      </c>
      <c r="T31" s="2"/>
      <c r="U31" s="2"/>
      <c r="V31" s="2"/>
      <c r="W31" s="4">
        <f t="shared" si="0"/>
        <v>-6.09375</v>
      </c>
    </row>
    <row r="32" spans="1:23" ht="18" x14ac:dyDescent="0.2">
      <c r="A32" s="2">
        <v>24</v>
      </c>
      <c r="B32" s="2">
        <v>106</v>
      </c>
      <c r="C32" s="2">
        <v>100</v>
      </c>
      <c r="D32" s="2">
        <f t="shared" si="1"/>
        <v>-6</v>
      </c>
      <c r="E32" s="2"/>
      <c r="F32" s="2"/>
      <c r="G32" s="2"/>
      <c r="H32" s="2">
        <f>H26/64</f>
        <v>-3.125E-2</v>
      </c>
      <c r="I32" s="2">
        <f>I27/32</f>
        <v>0</v>
      </c>
      <c r="J32" s="2">
        <f>J28/16</f>
        <v>1.25</v>
      </c>
      <c r="K32" s="2">
        <f>K29/8</f>
        <v>1.5</v>
      </c>
      <c r="L32" s="2">
        <f>L30/4</f>
        <v>2.5</v>
      </c>
      <c r="M32" s="2">
        <f>M31/2</f>
        <v>-6</v>
      </c>
      <c r="N32" s="2">
        <f>D32*2</f>
        <v>-12</v>
      </c>
      <c r="O32" s="2">
        <f>O33/2</f>
        <v>0</v>
      </c>
      <c r="P32" s="2">
        <f>P34/4</f>
        <v>3</v>
      </c>
      <c r="Q32" s="2">
        <f>Q35/8</f>
        <v>0</v>
      </c>
      <c r="R32" s="2">
        <f>R36/16</f>
        <v>0.25</v>
      </c>
      <c r="S32" s="2">
        <f>S37/32</f>
        <v>-0.25</v>
      </c>
      <c r="T32" s="2">
        <f>T38/64</f>
        <v>0.375</v>
      </c>
      <c r="U32" s="2"/>
      <c r="V32" s="2"/>
      <c r="W32" s="4">
        <f t="shared" si="0"/>
        <v>-9.40625</v>
      </c>
    </row>
    <row r="33" spans="1:23" ht="18" x14ac:dyDescent="0.2">
      <c r="A33" s="2">
        <v>25</v>
      </c>
      <c r="B33" s="8">
        <v>90</v>
      </c>
      <c r="C33" s="2">
        <v>90</v>
      </c>
      <c r="D33" s="2">
        <f t="shared" si="1"/>
        <v>0</v>
      </c>
      <c r="E33" s="2"/>
      <c r="F33" s="2"/>
      <c r="G33" s="2"/>
      <c r="H33" s="2"/>
      <c r="I33" s="2">
        <f>I27/64</f>
        <v>0</v>
      </c>
      <c r="J33" s="2">
        <f>J28/32</f>
        <v>0.625</v>
      </c>
      <c r="K33" s="2">
        <f>K29/16</f>
        <v>0.75</v>
      </c>
      <c r="L33" s="2">
        <f>L30/8</f>
        <v>1.25</v>
      </c>
      <c r="M33" s="2">
        <f>M31/4</f>
        <v>-3</v>
      </c>
      <c r="N33" s="2">
        <f>N32/2</f>
        <v>-6</v>
      </c>
      <c r="O33" s="2">
        <f>D33*2</f>
        <v>0</v>
      </c>
      <c r="P33" s="2">
        <f>P34/2</f>
        <v>6</v>
      </c>
      <c r="Q33" s="2">
        <f>Q35/4</f>
        <v>0</v>
      </c>
      <c r="R33" s="2">
        <f>R36/8</f>
        <v>0.5</v>
      </c>
      <c r="S33" s="2">
        <f>S37/16</f>
        <v>-0.5</v>
      </c>
      <c r="T33" s="2">
        <f>T38/32</f>
        <v>0.75</v>
      </c>
      <c r="U33" s="2">
        <f>U39/64</f>
        <v>-3.125E-2</v>
      </c>
      <c r="V33" s="2"/>
      <c r="W33" s="4">
        <f t="shared" si="0"/>
        <v>0.34375</v>
      </c>
    </row>
    <row r="34" spans="1:23" ht="18" x14ac:dyDescent="0.2">
      <c r="A34" s="2">
        <v>26</v>
      </c>
      <c r="B34" s="8">
        <v>64</v>
      </c>
      <c r="C34" s="2">
        <v>70</v>
      </c>
      <c r="D34" s="2">
        <f t="shared" si="1"/>
        <v>6</v>
      </c>
      <c r="E34" s="2"/>
      <c r="F34" s="2"/>
      <c r="G34" s="2"/>
      <c r="H34" s="2"/>
      <c r="I34" s="2"/>
      <c r="J34" s="2">
        <f>J28/64</f>
        <v>0.3125</v>
      </c>
      <c r="K34" s="2">
        <f>K29/32</f>
        <v>0.375</v>
      </c>
      <c r="L34" s="2">
        <f>L30/16</f>
        <v>0.625</v>
      </c>
      <c r="M34" s="2">
        <f>M31/8</f>
        <v>-1.5</v>
      </c>
      <c r="N34" s="2">
        <f>N32/4</f>
        <v>-3</v>
      </c>
      <c r="O34" s="2">
        <f>O33/2</f>
        <v>0</v>
      </c>
      <c r="P34" s="2">
        <f>D34*2</f>
        <v>12</v>
      </c>
      <c r="Q34" s="2">
        <f>Q35/2</f>
        <v>0</v>
      </c>
      <c r="R34" s="2">
        <f>R36/4</f>
        <v>1</v>
      </c>
      <c r="S34" s="2">
        <f>S37/8</f>
        <v>-1</v>
      </c>
      <c r="T34" s="2">
        <f>T38/16</f>
        <v>1.5</v>
      </c>
      <c r="U34" s="2">
        <f>U39/32</f>
        <v>-6.25E-2</v>
      </c>
      <c r="V34" s="2">
        <f>V40/64</f>
        <v>-6.25E-2</v>
      </c>
      <c r="W34" s="4">
        <f t="shared" si="0"/>
        <v>10.25</v>
      </c>
    </row>
    <row r="35" spans="1:23" ht="18" x14ac:dyDescent="0.2">
      <c r="A35" s="2">
        <v>27</v>
      </c>
      <c r="B35" s="8">
        <v>65</v>
      </c>
      <c r="C35" s="2">
        <v>65</v>
      </c>
      <c r="D35" s="2">
        <f t="shared" si="1"/>
        <v>0</v>
      </c>
      <c r="E35" s="2">
        <f>E41/64</f>
        <v>-6.25E-2</v>
      </c>
      <c r="F35" s="2"/>
      <c r="G35" s="2"/>
      <c r="H35" s="2"/>
      <c r="I35" s="2"/>
      <c r="J35" s="2"/>
      <c r="K35" s="2">
        <f>K29/64</f>
        <v>0.1875</v>
      </c>
      <c r="L35" s="2">
        <f>L30/32</f>
        <v>0.3125</v>
      </c>
      <c r="M35" s="2">
        <f>M31/16</f>
        <v>-0.75</v>
      </c>
      <c r="N35" s="2">
        <f>N32/8</f>
        <v>-1.5</v>
      </c>
      <c r="O35" s="2">
        <f>O33/4</f>
        <v>0</v>
      </c>
      <c r="P35" s="2">
        <f>P34/2</f>
        <v>6</v>
      </c>
      <c r="Q35" s="2">
        <f>D35*2</f>
        <v>0</v>
      </c>
      <c r="R35" s="2">
        <f>R36/2</f>
        <v>2</v>
      </c>
      <c r="S35" s="2">
        <f>S37/4</f>
        <v>-2</v>
      </c>
      <c r="T35" s="2">
        <f>T38/8</f>
        <v>3</v>
      </c>
      <c r="U35" s="2">
        <f>U39/16</f>
        <v>-0.125</v>
      </c>
      <c r="V35" s="2">
        <f>V40/32</f>
        <v>-0.125</v>
      </c>
      <c r="W35" s="4">
        <f t="shared" si="0"/>
        <v>7.0625</v>
      </c>
    </row>
    <row r="36" spans="1:23" ht="18" x14ac:dyDescent="0.2">
      <c r="A36" s="2">
        <v>28</v>
      </c>
      <c r="B36" s="8">
        <v>38</v>
      </c>
      <c r="C36" s="2">
        <v>40</v>
      </c>
      <c r="D36" s="2">
        <f t="shared" si="1"/>
        <v>2</v>
      </c>
      <c r="E36" s="2">
        <f>E41/32</f>
        <v>-0.125</v>
      </c>
      <c r="F36" s="2">
        <f>F42/64</f>
        <v>0.40625</v>
      </c>
      <c r="G36" s="2"/>
      <c r="H36" s="2"/>
      <c r="I36" s="2"/>
      <c r="J36" s="2"/>
      <c r="K36" s="2"/>
      <c r="L36" s="2">
        <f>L30/64</f>
        <v>0.15625</v>
      </c>
      <c r="M36" s="2">
        <f>M31/32</f>
        <v>-0.375</v>
      </c>
      <c r="N36" s="2">
        <f>N32/16</f>
        <v>-0.75</v>
      </c>
      <c r="O36" s="2">
        <f>O33/8</f>
        <v>0</v>
      </c>
      <c r="P36" s="2">
        <f>P34/4</f>
        <v>3</v>
      </c>
      <c r="Q36" s="2">
        <f>Q35/2</f>
        <v>0</v>
      </c>
      <c r="R36" s="2">
        <f>D36*2</f>
        <v>4</v>
      </c>
      <c r="S36" s="2">
        <f>S37/2</f>
        <v>-4</v>
      </c>
      <c r="T36" s="2">
        <f>T38/4</f>
        <v>6</v>
      </c>
      <c r="U36" s="2">
        <f>U39/8</f>
        <v>-0.25</v>
      </c>
      <c r="V36" s="2">
        <f>V40/16</f>
        <v>-0.25</v>
      </c>
      <c r="W36" s="4">
        <f t="shared" si="0"/>
        <v>8.0625</v>
      </c>
    </row>
    <row r="37" spans="1:23" ht="18" x14ac:dyDescent="0.2">
      <c r="A37" s="2">
        <v>29</v>
      </c>
      <c r="B37" s="8">
        <v>74</v>
      </c>
      <c r="C37" s="2">
        <v>70</v>
      </c>
      <c r="D37" s="2">
        <f t="shared" si="1"/>
        <v>-4</v>
      </c>
      <c r="E37" s="2">
        <f>E41/16</f>
        <v>-0.25</v>
      </c>
      <c r="F37" s="2">
        <f>F42/32</f>
        <v>0.8125</v>
      </c>
      <c r="G37" s="2">
        <f>G43/64</f>
        <v>-0.125</v>
      </c>
      <c r="H37" s="2"/>
      <c r="I37" s="2"/>
      <c r="J37" s="2"/>
      <c r="K37" s="2"/>
      <c r="L37" s="2"/>
      <c r="M37" s="2">
        <f>M31/64</f>
        <v>-0.1875</v>
      </c>
      <c r="N37" s="2">
        <f>N32/32</f>
        <v>-0.375</v>
      </c>
      <c r="O37" s="2">
        <f>O33/16</f>
        <v>0</v>
      </c>
      <c r="P37" s="2">
        <f>P34/8</f>
        <v>1.5</v>
      </c>
      <c r="Q37" s="2">
        <f>Q35/4</f>
        <v>0</v>
      </c>
      <c r="R37" s="2">
        <f>R36/2</f>
        <v>2</v>
      </c>
      <c r="S37" s="2">
        <f>D37*2</f>
        <v>-8</v>
      </c>
      <c r="T37" s="2">
        <f>T38/2</f>
        <v>12</v>
      </c>
      <c r="U37" s="2">
        <f>U39/4</f>
        <v>-0.5</v>
      </c>
      <c r="V37" s="2">
        <f>V40/8</f>
        <v>-0.5</v>
      </c>
      <c r="W37" s="4">
        <f t="shared" si="0"/>
        <v>6.875</v>
      </c>
    </row>
    <row r="38" spans="1:23" ht="18" x14ac:dyDescent="0.2">
      <c r="A38" s="2">
        <v>30</v>
      </c>
      <c r="B38" s="2">
        <v>88</v>
      </c>
      <c r="C38" s="2">
        <v>100</v>
      </c>
      <c r="D38" s="2">
        <f t="shared" si="1"/>
        <v>12</v>
      </c>
      <c r="E38" s="2">
        <f>E41/8</f>
        <v>-0.5</v>
      </c>
      <c r="F38" s="2">
        <f>F42/16</f>
        <v>1.625</v>
      </c>
      <c r="G38" s="2">
        <f>G43/32</f>
        <v>-0.25</v>
      </c>
      <c r="H38" s="2">
        <f>H44/64</f>
        <v>-0.125</v>
      </c>
      <c r="I38" s="2"/>
      <c r="J38" s="2"/>
      <c r="K38" s="2"/>
      <c r="L38" s="2"/>
      <c r="M38" s="2"/>
      <c r="N38" s="2">
        <f>N32/64</f>
        <v>-0.1875</v>
      </c>
      <c r="O38" s="2">
        <f>O33/32</f>
        <v>0</v>
      </c>
      <c r="P38" s="2">
        <f>P34/16</f>
        <v>0.75</v>
      </c>
      <c r="Q38" s="2">
        <f>Q35/8</f>
        <v>0</v>
      </c>
      <c r="R38" s="2">
        <f>R36/4</f>
        <v>1</v>
      </c>
      <c r="S38" s="2">
        <f>S37/2</f>
        <v>-4</v>
      </c>
      <c r="T38" s="2">
        <f>D38*2</f>
        <v>24</v>
      </c>
      <c r="U38" s="2">
        <f>U39/2</f>
        <v>-1</v>
      </c>
      <c r="V38" s="2">
        <f>V40/4</f>
        <v>-1</v>
      </c>
      <c r="W38" s="4">
        <f t="shared" si="0"/>
        <v>21.3125</v>
      </c>
    </row>
    <row r="39" spans="1:23" ht="18" x14ac:dyDescent="0.2">
      <c r="A39" s="2">
        <v>31</v>
      </c>
      <c r="B39" s="2">
        <v>121</v>
      </c>
      <c r="C39" s="2">
        <v>120</v>
      </c>
      <c r="D39" s="2">
        <f t="shared" si="1"/>
        <v>-1</v>
      </c>
      <c r="E39" s="2">
        <f>E41/4</f>
        <v>-1</v>
      </c>
      <c r="F39" s="2">
        <f>F42/8</f>
        <v>3.25</v>
      </c>
      <c r="G39" s="2">
        <f>G43/16</f>
        <v>-0.5</v>
      </c>
      <c r="H39" s="2">
        <f>H44/32</f>
        <v>-0.25</v>
      </c>
      <c r="I39" s="2">
        <f>I45/64</f>
        <v>-0.125</v>
      </c>
      <c r="J39" s="2"/>
      <c r="K39" s="2"/>
      <c r="L39" s="2"/>
      <c r="M39" s="2"/>
      <c r="N39" s="2"/>
      <c r="O39" s="2">
        <f>O33/64</f>
        <v>0</v>
      </c>
      <c r="P39" s="2">
        <f>P34/32</f>
        <v>0.375</v>
      </c>
      <c r="Q39" s="2">
        <f>Q35/16</f>
        <v>0</v>
      </c>
      <c r="R39" s="2">
        <f>R36/8</f>
        <v>0.5</v>
      </c>
      <c r="S39" s="2">
        <f>S37/4</f>
        <v>-2</v>
      </c>
      <c r="T39" s="2">
        <f>T38/2</f>
        <v>12</v>
      </c>
      <c r="U39" s="2">
        <f>D39*2</f>
        <v>-2</v>
      </c>
      <c r="V39" s="2">
        <f>V40/2</f>
        <v>-2</v>
      </c>
      <c r="W39" s="4">
        <f t="shared" si="0"/>
        <v>10.25</v>
      </c>
    </row>
    <row r="40" spans="1:23" ht="18" x14ac:dyDescent="0.2">
      <c r="A40" s="2">
        <v>32</v>
      </c>
      <c r="B40" s="2">
        <v>122</v>
      </c>
      <c r="C40" s="2">
        <v>120</v>
      </c>
      <c r="D40" s="2">
        <f t="shared" si="1"/>
        <v>-2</v>
      </c>
      <c r="E40" s="2">
        <f>E41/2</f>
        <v>-2</v>
      </c>
      <c r="F40" s="2">
        <f>F42/4</f>
        <v>6.5</v>
      </c>
      <c r="G40" s="2">
        <f>G43/8</f>
        <v>-1</v>
      </c>
      <c r="H40" s="2">
        <f>H44/16</f>
        <v>-0.5</v>
      </c>
      <c r="I40" s="2">
        <f>I45/32</f>
        <v>-0.25</v>
      </c>
      <c r="J40" s="2">
        <f>J46/64</f>
        <v>-0.28125</v>
      </c>
      <c r="K40" s="2"/>
      <c r="L40" s="2"/>
      <c r="M40" s="2"/>
      <c r="N40" s="2"/>
      <c r="O40" s="2"/>
      <c r="P40" s="2">
        <f>P34/64</f>
        <v>0.1875</v>
      </c>
      <c r="Q40" s="2">
        <f>Q35/32</f>
        <v>0</v>
      </c>
      <c r="R40" s="2">
        <f>R36/16</f>
        <v>0.25</v>
      </c>
      <c r="S40" s="2">
        <f>S37/8</f>
        <v>-1</v>
      </c>
      <c r="T40" s="2">
        <f>T38/4</f>
        <v>6</v>
      </c>
      <c r="U40" s="2">
        <f>U39/2</f>
        <v>-1</v>
      </c>
      <c r="V40" s="2">
        <f>D40*2</f>
        <v>-4</v>
      </c>
      <c r="W40" s="4">
        <f t="shared" si="0"/>
        <v>6.90625</v>
      </c>
    </row>
    <row r="41" spans="1:23" ht="18" x14ac:dyDescent="0.2">
      <c r="A41" s="2">
        <v>33</v>
      </c>
      <c r="B41" s="2">
        <v>122</v>
      </c>
      <c r="C41" s="2">
        <v>120</v>
      </c>
      <c r="D41" s="2">
        <f t="shared" si="1"/>
        <v>-2</v>
      </c>
      <c r="E41" s="2">
        <f>D41*2</f>
        <v>-4</v>
      </c>
      <c r="F41" s="2">
        <f>F42/2</f>
        <v>13</v>
      </c>
      <c r="G41" s="2">
        <f>G43/4</f>
        <v>-2</v>
      </c>
      <c r="H41" s="2">
        <f>H44/8</f>
        <v>-1</v>
      </c>
      <c r="I41" s="2">
        <f>I45/16</f>
        <v>-0.5</v>
      </c>
      <c r="J41" s="2">
        <f>J46/32</f>
        <v>-0.5625</v>
      </c>
      <c r="K41" s="2">
        <f>K47/64</f>
        <v>0</v>
      </c>
      <c r="L41" s="2"/>
      <c r="M41" s="2"/>
      <c r="N41" s="2"/>
      <c r="O41" s="2"/>
      <c r="P41" s="2"/>
      <c r="Q41" s="2">
        <f>Q35/64</f>
        <v>0</v>
      </c>
      <c r="R41" s="2">
        <f>R36/32</f>
        <v>0.125</v>
      </c>
      <c r="S41" s="2">
        <f>S37/16</f>
        <v>-0.5</v>
      </c>
      <c r="T41" s="2">
        <f>T38/8</f>
        <v>3</v>
      </c>
      <c r="U41" s="2">
        <f>U39/4</f>
        <v>-0.5</v>
      </c>
      <c r="V41" s="2">
        <f>V40/2</f>
        <v>-2</v>
      </c>
      <c r="W41" s="4">
        <f t="shared" si="0"/>
        <v>7.0625</v>
      </c>
    </row>
    <row r="42" spans="1:23" ht="18" x14ac:dyDescent="0.2">
      <c r="A42" s="2">
        <v>34</v>
      </c>
      <c r="B42" s="2">
        <v>117</v>
      </c>
      <c r="C42" s="2">
        <v>130</v>
      </c>
      <c r="D42" s="2">
        <f t="shared" si="1"/>
        <v>13</v>
      </c>
      <c r="E42" s="2">
        <f>E41/2</f>
        <v>-2</v>
      </c>
      <c r="F42" s="2">
        <f>D42*2</f>
        <v>26</v>
      </c>
      <c r="G42" s="2">
        <f>G43/2</f>
        <v>-4</v>
      </c>
      <c r="H42" s="2">
        <f>H44/4</f>
        <v>-2</v>
      </c>
      <c r="I42" s="2">
        <f>I45/8</f>
        <v>-1</v>
      </c>
      <c r="J42" s="2">
        <f>J46/16</f>
        <v>-1.125</v>
      </c>
      <c r="K42" s="2">
        <f>K47/32</f>
        <v>0</v>
      </c>
      <c r="L42" s="2">
        <f>L48/64</f>
        <v>0.1875</v>
      </c>
      <c r="M42" s="2"/>
      <c r="N42" s="2"/>
      <c r="O42" s="2"/>
      <c r="P42" s="2"/>
      <c r="Q42" s="2"/>
      <c r="R42" s="2">
        <f>R36/64</f>
        <v>6.25E-2</v>
      </c>
      <c r="S42" s="2">
        <f>S37/32</f>
        <v>-0.25</v>
      </c>
      <c r="T42" s="2">
        <f>T38/16</f>
        <v>1.5</v>
      </c>
      <c r="U42" s="2">
        <f>U39/8</f>
        <v>-0.25</v>
      </c>
      <c r="V42" s="2">
        <f>V40/4</f>
        <v>-1</v>
      </c>
      <c r="W42" s="4">
        <f t="shared" si="0"/>
        <v>17.125</v>
      </c>
    </row>
    <row r="43" spans="1:23" ht="18" x14ac:dyDescent="0.2">
      <c r="A43" s="2">
        <v>35</v>
      </c>
      <c r="B43" s="2">
        <v>144</v>
      </c>
      <c r="C43" s="2">
        <v>140</v>
      </c>
      <c r="D43" s="2">
        <f t="shared" si="1"/>
        <v>-4</v>
      </c>
      <c r="E43" s="2">
        <f>E41/4</f>
        <v>-1</v>
      </c>
      <c r="F43" s="2">
        <f>F42/2</f>
        <v>13</v>
      </c>
      <c r="G43" s="2">
        <f>D43*2</f>
        <v>-8</v>
      </c>
      <c r="H43" s="2">
        <f>H44/2</f>
        <v>-4</v>
      </c>
      <c r="I43" s="2">
        <f>I45/4</f>
        <v>-2</v>
      </c>
      <c r="J43" s="2">
        <f>J46/8</f>
        <v>-2.25</v>
      </c>
      <c r="K43" s="2">
        <f>K47/16</f>
        <v>0</v>
      </c>
      <c r="L43" s="2">
        <f>L48/32</f>
        <v>0.375</v>
      </c>
      <c r="M43" s="2">
        <f>M49/64</f>
        <v>0.21875</v>
      </c>
      <c r="N43" s="2"/>
      <c r="O43" s="2"/>
      <c r="P43" s="2"/>
      <c r="Q43" s="2"/>
      <c r="R43" s="2"/>
      <c r="S43" s="2">
        <f>S37/64</f>
        <v>-0.125</v>
      </c>
      <c r="T43" s="2">
        <f>T38/32</f>
        <v>0.75</v>
      </c>
      <c r="U43" s="2">
        <f>U39/16</f>
        <v>-0.125</v>
      </c>
      <c r="V43" s="2">
        <f>V40/8</f>
        <v>-0.5</v>
      </c>
      <c r="W43" s="4">
        <f t="shared" si="0"/>
        <v>-3.15625</v>
      </c>
    </row>
    <row r="44" spans="1:23" ht="18" x14ac:dyDescent="0.2">
      <c r="A44" s="2">
        <v>36</v>
      </c>
      <c r="B44" s="2">
        <v>164</v>
      </c>
      <c r="C44" s="2">
        <v>160</v>
      </c>
      <c r="D44" s="2">
        <f t="shared" si="1"/>
        <v>-4</v>
      </c>
      <c r="E44" s="2">
        <f>E41/8</f>
        <v>-0.5</v>
      </c>
      <c r="F44" s="2">
        <f>F42/4</f>
        <v>6.5</v>
      </c>
      <c r="G44" s="2">
        <f>G43/2</f>
        <v>-4</v>
      </c>
      <c r="H44" s="2">
        <f>D44*2</f>
        <v>-8</v>
      </c>
      <c r="I44" s="2">
        <f>I45/2</f>
        <v>-4</v>
      </c>
      <c r="J44" s="2">
        <f>J46/4</f>
        <v>-4.5</v>
      </c>
      <c r="K44" s="2">
        <f>K47/8</f>
        <v>0</v>
      </c>
      <c r="L44" s="2">
        <f>L48/16</f>
        <v>0.75</v>
      </c>
      <c r="M44" s="2">
        <f>M49/32</f>
        <v>0.4375</v>
      </c>
      <c r="N44" s="2">
        <f>N50/64</f>
        <v>0</v>
      </c>
      <c r="O44" s="2"/>
      <c r="P44" s="2"/>
      <c r="Q44" s="2"/>
      <c r="R44" s="2"/>
      <c r="S44" s="2"/>
      <c r="T44" s="2">
        <f>T38/64</f>
        <v>0.375</v>
      </c>
      <c r="U44" s="2">
        <f>U39/32</f>
        <v>-6.25E-2</v>
      </c>
      <c r="V44" s="2">
        <f>V40/16</f>
        <v>-0.25</v>
      </c>
      <c r="W44" s="4">
        <f t="shared" si="0"/>
        <v>-13</v>
      </c>
    </row>
    <row r="45" spans="1:23" ht="18" x14ac:dyDescent="0.2">
      <c r="A45" s="2">
        <v>37</v>
      </c>
      <c r="B45" s="2">
        <v>164</v>
      </c>
      <c r="C45" s="2">
        <v>160</v>
      </c>
      <c r="D45" s="2">
        <f t="shared" si="1"/>
        <v>-4</v>
      </c>
      <c r="E45" s="2">
        <f>E41/16</f>
        <v>-0.25</v>
      </c>
      <c r="F45" s="2">
        <f>F42/8</f>
        <v>3.25</v>
      </c>
      <c r="G45" s="2">
        <f>G43/4</f>
        <v>-2</v>
      </c>
      <c r="H45" s="2">
        <f>H44/2</f>
        <v>-4</v>
      </c>
      <c r="I45" s="2">
        <f>D45*2</f>
        <v>-8</v>
      </c>
      <c r="J45" s="2">
        <f>J46/2</f>
        <v>-9</v>
      </c>
      <c r="K45" s="2">
        <f>K47/4</f>
        <v>0</v>
      </c>
      <c r="L45" s="2">
        <f>L48/8</f>
        <v>1.5</v>
      </c>
      <c r="M45" s="2">
        <f>M49/16</f>
        <v>0.875</v>
      </c>
      <c r="N45" s="2">
        <f>N50/32</f>
        <v>0</v>
      </c>
      <c r="O45" s="2">
        <f>O51/64</f>
        <v>-6.25E-2</v>
      </c>
      <c r="P45" s="2"/>
      <c r="Q45" s="2"/>
      <c r="R45" s="2"/>
      <c r="S45" s="2"/>
      <c r="T45" s="2"/>
      <c r="U45" s="2">
        <f>U39/64</f>
        <v>-3.125E-2</v>
      </c>
      <c r="V45" s="2">
        <f>V40/32</f>
        <v>-0.125</v>
      </c>
      <c r="W45" s="4">
        <f t="shared" si="0"/>
        <v>-17.71875</v>
      </c>
    </row>
    <row r="46" spans="1:23" ht="18" x14ac:dyDescent="0.2">
      <c r="A46" s="2">
        <v>38</v>
      </c>
      <c r="B46" s="2">
        <v>189</v>
      </c>
      <c r="C46" s="2">
        <v>180</v>
      </c>
      <c r="D46" s="2">
        <f t="shared" si="1"/>
        <v>-9</v>
      </c>
      <c r="E46" s="2">
        <f>E41/32</f>
        <v>-0.125</v>
      </c>
      <c r="F46" s="2">
        <f>F42/16</f>
        <v>1.625</v>
      </c>
      <c r="G46" s="2">
        <f>G43/8</f>
        <v>-1</v>
      </c>
      <c r="H46" s="2">
        <f>H44/4</f>
        <v>-2</v>
      </c>
      <c r="I46" s="2">
        <f>I45/2</f>
        <v>-4</v>
      </c>
      <c r="J46" s="2">
        <f>D46*2</f>
        <v>-18</v>
      </c>
      <c r="K46" s="2">
        <f>K47/2</f>
        <v>0</v>
      </c>
      <c r="L46" s="2">
        <f>L48/4</f>
        <v>3</v>
      </c>
      <c r="M46" s="2">
        <f>M49/8</f>
        <v>1.75</v>
      </c>
      <c r="N46" s="2">
        <f>N50/16</f>
        <v>0</v>
      </c>
      <c r="O46" s="2">
        <f>O51/32</f>
        <v>-0.125</v>
      </c>
      <c r="P46" s="2">
        <f>P52/64</f>
        <v>6.25E-2</v>
      </c>
      <c r="Q46" s="2"/>
      <c r="R46" s="2"/>
      <c r="S46" s="2"/>
      <c r="T46" s="2"/>
      <c r="U46" s="2"/>
      <c r="V46" s="2">
        <f>V40/64</f>
        <v>-6.25E-2</v>
      </c>
      <c r="W46" s="4">
        <f t="shared" si="0"/>
        <v>-18.8125</v>
      </c>
    </row>
    <row r="47" spans="1:23" ht="18" x14ac:dyDescent="0.2">
      <c r="A47" s="2">
        <v>39</v>
      </c>
      <c r="B47" s="2">
        <v>180</v>
      </c>
      <c r="C47" s="2">
        <v>180</v>
      </c>
      <c r="D47" s="2">
        <f t="shared" si="1"/>
        <v>0</v>
      </c>
      <c r="E47" s="2">
        <f>E41/64</f>
        <v>-6.25E-2</v>
      </c>
      <c r="F47" s="2">
        <f>F42/32</f>
        <v>0.8125</v>
      </c>
      <c r="G47" s="2">
        <f>G43/16</f>
        <v>-0.5</v>
      </c>
      <c r="H47" s="2">
        <f>H44/8</f>
        <v>-1</v>
      </c>
      <c r="I47" s="2">
        <f>I45/4</f>
        <v>-2</v>
      </c>
      <c r="J47" s="2">
        <f>J46/2</f>
        <v>-9</v>
      </c>
      <c r="K47" s="2">
        <f>D47*2</f>
        <v>0</v>
      </c>
      <c r="L47" s="2">
        <f>L48/2</f>
        <v>6</v>
      </c>
      <c r="M47" s="2">
        <f>M49/4</f>
        <v>3.5</v>
      </c>
      <c r="N47" s="2">
        <f>N50/8</f>
        <v>0</v>
      </c>
      <c r="O47" s="2">
        <f>O51/16</f>
        <v>-0.25</v>
      </c>
      <c r="P47" s="2">
        <f>P52/32</f>
        <v>0.125</v>
      </c>
      <c r="Q47" s="2">
        <f>Q53/64</f>
        <v>-0.125</v>
      </c>
      <c r="R47" s="2"/>
      <c r="S47" s="2"/>
      <c r="T47" s="2"/>
      <c r="U47" s="2"/>
      <c r="V47" s="2"/>
      <c r="W47" s="4">
        <f t="shared" si="0"/>
        <v>-2.5</v>
      </c>
    </row>
    <row r="48" spans="1:23" ht="18" x14ac:dyDescent="0.2">
      <c r="A48" s="2">
        <v>40</v>
      </c>
      <c r="B48" s="2">
        <v>154</v>
      </c>
      <c r="C48" s="2">
        <v>160</v>
      </c>
      <c r="D48" s="2">
        <f t="shared" si="1"/>
        <v>6</v>
      </c>
      <c r="E48" s="2"/>
      <c r="F48" s="2">
        <f>F42/64</f>
        <v>0.40625</v>
      </c>
      <c r="G48" s="2">
        <f>G43/32</f>
        <v>-0.25</v>
      </c>
      <c r="H48" s="2">
        <f>H44/16</f>
        <v>-0.5</v>
      </c>
      <c r="I48" s="2">
        <f>I45/8</f>
        <v>-1</v>
      </c>
      <c r="J48" s="2">
        <f>J46/4</f>
        <v>-4.5</v>
      </c>
      <c r="K48" s="2">
        <f>K47/2</f>
        <v>0</v>
      </c>
      <c r="L48" s="2">
        <f>D48*2</f>
        <v>12</v>
      </c>
      <c r="M48" s="2">
        <f>M49/2</f>
        <v>7</v>
      </c>
      <c r="N48" s="2">
        <f>N50/4</f>
        <v>0</v>
      </c>
      <c r="O48" s="2">
        <f>O51/8</f>
        <v>-0.5</v>
      </c>
      <c r="P48" s="2">
        <f>P52/16</f>
        <v>0.25</v>
      </c>
      <c r="Q48" s="2">
        <f>Q53/32</f>
        <v>-0.25</v>
      </c>
      <c r="R48" s="2">
        <f>R54/64</f>
        <v>-0.3125</v>
      </c>
      <c r="S48" s="2"/>
      <c r="T48" s="2"/>
      <c r="U48" s="2"/>
      <c r="V48" s="2"/>
      <c r="W48" s="4">
        <f t="shared" si="0"/>
        <v>12.34375</v>
      </c>
    </row>
    <row r="49" spans="1:23" ht="18" x14ac:dyDescent="0.2">
      <c r="A49" s="2">
        <v>41</v>
      </c>
      <c r="B49" s="2">
        <v>153</v>
      </c>
      <c r="C49" s="2">
        <v>160</v>
      </c>
      <c r="D49" s="2">
        <f t="shared" si="1"/>
        <v>7</v>
      </c>
      <c r="E49" s="2"/>
      <c r="F49" s="2"/>
      <c r="G49" s="2">
        <f>G43/64</f>
        <v>-0.125</v>
      </c>
      <c r="H49" s="2">
        <f>H44/32</f>
        <v>-0.25</v>
      </c>
      <c r="I49" s="2">
        <f>I45/16</f>
        <v>-0.5</v>
      </c>
      <c r="J49" s="2">
        <f>J46/8</f>
        <v>-2.25</v>
      </c>
      <c r="K49" s="2">
        <f>K47/4</f>
        <v>0</v>
      </c>
      <c r="L49" s="2">
        <f>L48/2</f>
        <v>6</v>
      </c>
      <c r="M49" s="2">
        <f>D49*2</f>
        <v>14</v>
      </c>
      <c r="N49" s="2">
        <f>N50/2</f>
        <v>0</v>
      </c>
      <c r="O49" s="2">
        <f>O51/4</f>
        <v>-1</v>
      </c>
      <c r="P49" s="2">
        <f>P52/8</f>
        <v>0.5</v>
      </c>
      <c r="Q49" s="2">
        <f>Q53/16</f>
        <v>-0.5</v>
      </c>
      <c r="R49" s="2">
        <f>R54/32</f>
        <v>-0.625</v>
      </c>
      <c r="S49" s="2">
        <f>S55/64</f>
        <v>-0.125</v>
      </c>
      <c r="T49" s="2"/>
      <c r="U49" s="2"/>
      <c r="V49" s="2"/>
      <c r="W49" s="4">
        <f t="shared" si="0"/>
        <v>15.125</v>
      </c>
    </row>
    <row r="50" spans="1:23" ht="18" x14ac:dyDescent="0.2">
      <c r="A50" s="2">
        <v>42</v>
      </c>
      <c r="B50" s="2">
        <v>160</v>
      </c>
      <c r="C50" s="2">
        <v>160</v>
      </c>
      <c r="D50" s="2">
        <f t="shared" si="1"/>
        <v>0</v>
      </c>
      <c r="E50" s="2"/>
      <c r="F50" s="2"/>
      <c r="G50" s="2"/>
      <c r="H50" s="2">
        <f>H44/64</f>
        <v>-0.125</v>
      </c>
      <c r="I50" s="2">
        <f>I45/32</f>
        <v>-0.25</v>
      </c>
      <c r="J50" s="2">
        <f>J46/16</f>
        <v>-1.125</v>
      </c>
      <c r="K50" s="2">
        <f>K47/8</f>
        <v>0</v>
      </c>
      <c r="L50" s="2">
        <f>L48/4</f>
        <v>3</v>
      </c>
      <c r="M50" s="2">
        <f>M49/2</f>
        <v>7</v>
      </c>
      <c r="N50" s="2">
        <f>D50*2</f>
        <v>0</v>
      </c>
      <c r="O50" s="2">
        <f>O51/2</f>
        <v>-2</v>
      </c>
      <c r="P50" s="2">
        <f>P52/4</f>
        <v>1</v>
      </c>
      <c r="Q50" s="2">
        <f>Q53/8</f>
        <v>-1</v>
      </c>
      <c r="R50" s="2">
        <f>R54/16</f>
        <v>-1.25</v>
      </c>
      <c r="S50" s="2">
        <f>S55/32</f>
        <v>-0.25</v>
      </c>
      <c r="T50" s="2">
        <f>T56/64</f>
        <v>-0.3125</v>
      </c>
      <c r="U50" s="2"/>
      <c r="V50" s="2"/>
      <c r="W50" s="4">
        <f t="shared" si="0"/>
        <v>4.6875</v>
      </c>
    </row>
    <row r="51" spans="1:23" ht="18" x14ac:dyDescent="0.2">
      <c r="A51" s="2">
        <v>43</v>
      </c>
      <c r="B51" s="2">
        <v>162</v>
      </c>
      <c r="C51" s="2">
        <v>160</v>
      </c>
      <c r="D51" s="2">
        <f t="shared" si="1"/>
        <v>-2</v>
      </c>
      <c r="E51" s="2"/>
      <c r="F51" s="2"/>
      <c r="G51" s="2"/>
      <c r="H51" s="2"/>
      <c r="I51" s="2">
        <f>I45/64</f>
        <v>-0.125</v>
      </c>
      <c r="J51" s="2">
        <f>J46/32</f>
        <v>-0.5625</v>
      </c>
      <c r="K51" s="2">
        <f>K47/16</f>
        <v>0</v>
      </c>
      <c r="L51" s="2">
        <f>L48/8</f>
        <v>1.5</v>
      </c>
      <c r="M51" s="2">
        <f>M49/4</f>
        <v>3.5</v>
      </c>
      <c r="N51" s="2">
        <f>N50/2</f>
        <v>0</v>
      </c>
      <c r="O51" s="2">
        <f>D51*2</f>
        <v>-4</v>
      </c>
      <c r="P51" s="2">
        <f>P52/2</f>
        <v>2</v>
      </c>
      <c r="Q51" s="2">
        <f>Q53/4</f>
        <v>-2</v>
      </c>
      <c r="R51" s="2">
        <f>R54/8</f>
        <v>-2.5</v>
      </c>
      <c r="S51" s="2">
        <f>S55/16</f>
        <v>-0.5</v>
      </c>
      <c r="T51" s="2">
        <f>T56/32</f>
        <v>-0.625</v>
      </c>
      <c r="U51" s="2">
        <f>U57/64</f>
        <v>0.125</v>
      </c>
      <c r="V51" s="2"/>
      <c r="W51" s="4">
        <f t="shared" si="0"/>
        <v>-3.1875</v>
      </c>
    </row>
    <row r="52" spans="1:23" ht="18" x14ac:dyDescent="0.2">
      <c r="A52" s="2">
        <v>44</v>
      </c>
      <c r="B52" s="2">
        <v>148</v>
      </c>
      <c r="C52" s="2">
        <v>150</v>
      </c>
      <c r="D52" s="2">
        <f t="shared" si="1"/>
        <v>2</v>
      </c>
      <c r="E52" s="2"/>
      <c r="F52" s="2"/>
      <c r="G52" s="2"/>
      <c r="H52" s="2"/>
      <c r="I52" s="2"/>
      <c r="J52" s="2">
        <f>J46/64</f>
        <v>-0.28125</v>
      </c>
      <c r="K52" s="2">
        <f>K47/32</f>
        <v>0</v>
      </c>
      <c r="L52" s="2">
        <f>L48/16</f>
        <v>0.75</v>
      </c>
      <c r="M52" s="2">
        <f>M49/8</f>
        <v>1.75</v>
      </c>
      <c r="N52" s="2">
        <f>N50/4</f>
        <v>0</v>
      </c>
      <c r="O52" s="2">
        <f>O51/2</f>
        <v>-2</v>
      </c>
      <c r="P52" s="2">
        <f>D52*2</f>
        <v>4</v>
      </c>
      <c r="Q52" s="2">
        <f>Q53/2</f>
        <v>-4</v>
      </c>
      <c r="R52" s="2">
        <f>R54/4</f>
        <v>-5</v>
      </c>
      <c r="S52" s="2">
        <f>S55/8</f>
        <v>-1</v>
      </c>
      <c r="T52" s="2">
        <f>T56/16</f>
        <v>-1.25</v>
      </c>
      <c r="U52" s="2">
        <f>U57/32</f>
        <v>0.25</v>
      </c>
      <c r="V52" s="2">
        <f>V58/64</f>
        <v>3.125E-2</v>
      </c>
      <c r="W52" s="4">
        <f t="shared" si="0"/>
        <v>-6.78125</v>
      </c>
    </row>
    <row r="53" spans="1:23" ht="18" x14ac:dyDescent="0.2">
      <c r="A53" s="2">
        <v>45</v>
      </c>
      <c r="B53" s="2">
        <v>154</v>
      </c>
      <c r="C53" s="2">
        <v>150</v>
      </c>
      <c r="D53" s="2">
        <f t="shared" si="1"/>
        <v>-4</v>
      </c>
      <c r="E53" s="2">
        <f>E59/64</f>
        <v>-6.25E-2</v>
      </c>
      <c r="F53" s="2"/>
      <c r="G53" s="2"/>
      <c r="H53" s="2"/>
      <c r="I53" s="2"/>
      <c r="J53" s="2"/>
      <c r="K53" s="2">
        <f>K47/64</f>
        <v>0</v>
      </c>
      <c r="L53" s="2">
        <f>L48/32</f>
        <v>0.375</v>
      </c>
      <c r="M53" s="2">
        <f>M49/16</f>
        <v>0.875</v>
      </c>
      <c r="N53" s="2">
        <f>N50/8</f>
        <v>0</v>
      </c>
      <c r="O53" s="2">
        <f>O51/4</f>
        <v>-1</v>
      </c>
      <c r="P53" s="2">
        <f>P52/2</f>
        <v>2</v>
      </c>
      <c r="Q53" s="2">
        <f>D53*2</f>
        <v>-8</v>
      </c>
      <c r="R53" s="2">
        <f>R54/2</f>
        <v>-10</v>
      </c>
      <c r="S53" s="2">
        <f>S55/4</f>
        <v>-2</v>
      </c>
      <c r="T53" s="2">
        <f>T56/8</f>
        <v>-2.5</v>
      </c>
      <c r="U53" s="2">
        <f>U57/16</f>
        <v>0.5</v>
      </c>
      <c r="V53" s="2">
        <f>V58/32</f>
        <v>6.25E-2</v>
      </c>
      <c r="W53" s="4">
        <f t="shared" si="0"/>
        <v>-19.8125</v>
      </c>
    </row>
    <row r="54" spans="1:23" ht="18" x14ac:dyDescent="0.2">
      <c r="A54" s="2">
        <v>46</v>
      </c>
      <c r="B54" s="2">
        <v>160</v>
      </c>
      <c r="C54" s="2">
        <v>150</v>
      </c>
      <c r="D54" s="2">
        <f t="shared" si="1"/>
        <v>-10</v>
      </c>
      <c r="E54" s="2">
        <f>E59/32</f>
        <v>-0.125</v>
      </c>
      <c r="F54" s="2">
        <f>F60/64</f>
        <v>3.125E-2</v>
      </c>
      <c r="G54" s="2"/>
      <c r="H54" s="2"/>
      <c r="I54" s="2"/>
      <c r="J54" s="2"/>
      <c r="K54" s="2"/>
      <c r="L54" s="2">
        <f>L48/64</f>
        <v>0.1875</v>
      </c>
      <c r="M54" s="2">
        <f>M49/32</f>
        <v>0.4375</v>
      </c>
      <c r="N54" s="2">
        <f>N50/16</f>
        <v>0</v>
      </c>
      <c r="O54" s="2">
        <f>O51/8</f>
        <v>-0.5</v>
      </c>
      <c r="P54" s="2">
        <f>P52/4</f>
        <v>1</v>
      </c>
      <c r="Q54" s="2">
        <f>Q53/2</f>
        <v>-4</v>
      </c>
      <c r="R54" s="2">
        <f>D54*2</f>
        <v>-20</v>
      </c>
      <c r="S54" s="2">
        <f>S55/2</f>
        <v>-4</v>
      </c>
      <c r="T54" s="2">
        <f>T56/4</f>
        <v>-5</v>
      </c>
      <c r="U54" s="2">
        <f>U57/8</f>
        <v>1</v>
      </c>
      <c r="V54" s="2">
        <f>V58/16</f>
        <v>0.125</v>
      </c>
      <c r="W54" s="4">
        <f t="shared" si="0"/>
        <v>-30.96875</v>
      </c>
    </row>
    <row r="55" spans="1:23" ht="18" x14ac:dyDescent="0.2">
      <c r="A55" s="2">
        <v>47</v>
      </c>
      <c r="B55" s="2">
        <v>154</v>
      </c>
      <c r="C55" s="2">
        <v>150</v>
      </c>
      <c r="D55" s="2">
        <f t="shared" si="1"/>
        <v>-4</v>
      </c>
      <c r="E55" s="2">
        <f>E59/16</f>
        <v>-0.25</v>
      </c>
      <c r="F55" s="2">
        <f>F60/32</f>
        <v>6.25E-2</v>
      </c>
      <c r="G55" s="2">
        <f>G61/64</f>
        <v>0.25</v>
      </c>
      <c r="H55" s="2"/>
      <c r="I55" s="2"/>
      <c r="J55" s="2"/>
      <c r="K55" s="2"/>
      <c r="L55" s="2"/>
      <c r="M55" s="2">
        <f>M49/64</f>
        <v>0.21875</v>
      </c>
      <c r="N55" s="2">
        <f>N50/32</f>
        <v>0</v>
      </c>
      <c r="O55" s="2">
        <f>O51/16</f>
        <v>-0.25</v>
      </c>
      <c r="P55" s="2">
        <f>P52/8</f>
        <v>0.5</v>
      </c>
      <c r="Q55" s="2">
        <f>Q53/4</f>
        <v>-2</v>
      </c>
      <c r="R55" s="2">
        <f>R54/2</f>
        <v>-10</v>
      </c>
      <c r="S55" s="2">
        <f>D55*2</f>
        <v>-8</v>
      </c>
      <c r="T55" s="2">
        <f>T56/2</f>
        <v>-10</v>
      </c>
      <c r="U55" s="2">
        <f>U57/4</f>
        <v>2</v>
      </c>
      <c r="V55" s="2">
        <f>V58/8</f>
        <v>0.25</v>
      </c>
      <c r="W55" s="4">
        <f t="shared" si="0"/>
        <v>-27.46875</v>
      </c>
    </row>
    <row r="56" spans="1:23" ht="18" x14ac:dyDescent="0.2">
      <c r="A56" s="2">
        <v>48</v>
      </c>
      <c r="B56" s="2">
        <v>160</v>
      </c>
      <c r="C56" s="2">
        <v>150</v>
      </c>
      <c r="D56" s="2">
        <f t="shared" si="1"/>
        <v>-10</v>
      </c>
      <c r="E56" s="2">
        <f>E59/8</f>
        <v>-0.5</v>
      </c>
      <c r="F56" s="2">
        <f>F60/16</f>
        <v>0.125</v>
      </c>
      <c r="G56" s="2">
        <f>G61/32</f>
        <v>0.5</v>
      </c>
      <c r="H56" s="2">
        <f>H62/64</f>
        <v>-0.25</v>
      </c>
      <c r="I56" s="2"/>
      <c r="J56" s="2"/>
      <c r="K56" s="2"/>
      <c r="L56" s="2"/>
      <c r="M56" s="2"/>
      <c r="N56" s="2">
        <f>N50/64</f>
        <v>0</v>
      </c>
      <c r="O56" s="2">
        <f>O51/32</f>
        <v>-0.125</v>
      </c>
      <c r="P56" s="2">
        <f>P52/16</f>
        <v>0.25</v>
      </c>
      <c r="Q56" s="2">
        <f>Q53/8</f>
        <v>-1</v>
      </c>
      <c r="R56" s="2">
        <f>R54/4</f>
        <v>-5</v>
      </c>
      <c r="S56" s="2">
        <f>S55/2</f>
        <v>-4</v>
      </c>
      <c r="T56" s="2">
        <f>D56*2</f>
        <v>-20</v>
      </c>
      <c r="U56" s="2">
        <f>U57/2</f>
        <v>4</v>
      </c>
      <c r="V56" s="2">
        <f>V58/4</f>
        <v>0.5</v>
      </c>
      <c r="W56" s="4">
        <f t="shared" si="0"/>
        <v>-26</v>
      </c>
    </row>
    <row r="57" spans="1:23" ht="18" x14ac:dyDescent="0.2">
      <c r="A57" s="2">
        <v>49</v>
      </c>
      <c r="B57" s="2">
        <v>126</v>
      </c>
      <c r="C57" s="2">
        <v>130</v>
      </c>
      <c r="D57" s="2">
        <f t="shared" si="1"/>
        <v>4</v>
      </c>
      <c r="E57" s="2">
        <f>E59/4</f>
        <v>-1</v>
      </c>
      <c r="F57" s="2">
        <f>F60/8</f>
        <v>0.25</v>
      </c>
      <c r="G57" s="2">
        <f>G61/16</f>
        <v>1</v>
      </c>
      <c r="H57" s="2">
        <f>H62/32</f>
        <v>-0.5</v>
      </c>
      <c r="I57" s="2">
        <f>I63/64</f>
        <v>-0.1875</v>
      </c>
      <c r="J57" s="2"/>
      <c r="K57" s="2"/>
      <c r="L57" s="2"/>
      <c r="M57" s="2"/>
      <c r="N57" s="2"/>
      <c r="O57" s="2">
        <f>O51/64</f>
        <v>-6.25E-2</v>
      </c>
      <c r="P57" s="2">
        <f>P52/32</f>
        <v>0.125</v>
      </c>
      <c r="Q57" s="2">
        <f>Q53/16</f>
        <v>-0.5</v>
      </c>
      <c r="R57" s="2">
        <f>R54/8</f>
        <v>-2.5</v>
      </c>
      <c r="S57" s="2">
        <f>S55/4</f>
        <v>-2</v>
      </c>
      <c r="T57" s="2">
        <f>T56/2</f>
        <v>-10</v>
      </c>
      <c r="U57" s="2">
        <f>D57*2</f>
        <v>8</v>
      </c>
      <c r="V57" s="2">
        <f>V58/2</f>
        <v>1</v>
      </c>
      <c r="W57" s="4">
        <f t="shared" si="0"/>
        <v>-7.375</v>
      </c>
    </row>
    <row r="58" spans="1:23" ht="18" x14ac:dyDescent="0.2">
      <c r="A58" s="2">
        <v>50</v>
      </c>
      <c r="B58" s="2">
        <v>99</v>
      </c>
      <c r="C58" s="2">
        <v>100</v>
      </c>
      <c r="D58" s="2">
        <f t="shared" si="1"/>
        <v>1</v>
      </c>
      <c r="E58" s="2">
        <f>E59/2</f>
        <v>-2</v>
      </c>
      <c r="F58" s="2">
        <f>F60/4</f>
        <v>0.5</v>
      </c>
      <c r="G58" s="2">
        <f>G61/8</f>
        <v>2</v>
      </c>
      <c r="H58" s="2">
        <f>H62/16</f>
        <v>-1</v>
      </c>
      <c r="I58" s="2">
        <f>I63/32</f>
        <v>-0.375</v>
      </c>
      <c r="J58" s="2">
        <f>J64/64</f>
        <v>0.375</v>
      </c>
      <c r="K58" s="2"/>
      <c r="L58" s="2"/>
      <c r="M58" s="2"/>
      <c r="N58" s="2"/>
      <c r="O58" s="2"/>
      <c r="P58" s="2">
        <f>P52/64</f>
        <v>6.25E-2</v>
      </c>
      <c r="Q58" s="2">
        <f>Q53/32</f>
        <v>-0.25</v>
      </c>
      <c r="R58" s="2">
        <f>R54/16</f>
        <v>-1.25</v>
      </c>
      <c r="S58" s="2">
        <f>S55/8</f>
        <v>-1</v>
      </c>
      <c r="T58" s="2">
        <f>T56/4</f>
        <v>-5</v>
      </c>
      <c r="U58" s="2">
        <f>U57/2</f>
        <v>4</v>
      </c>
      <c r="V58" s="2">
        <f>D58*2</f>
        <v>2</v>
      </c>
      <c r="W58" s="4">
        <f t="shared" si="0"/>
        <v>-3.9375</v>
      </c>
    </row>
    <row r="59" spans="1:23" ht="18" x14ac:dyDescent="0.2">
      <c r="A59" s="2">
        <v>51</v>
      </c>
      <c r="B59" s="2">
        <v>72</v>
      </c>
      <c r="C59" s="2">
        <v>70</v>
      </c>
      <c r="D59" s="2">
        <f t="shared" si="1"/>
        <v>-2</v>
      </c>
      <c r="E59" s="2">
        <f>D59*2</f>
        <v>-4</v>
      </c>
      <c r="F59" s="2">
        <f>F60/2</f>
        <v>1</v>
      </c>
      <c r="G59" s="2">
        <f>G61/4</f>
        <v>4</v>
      </c>
      <c r="H59" s="2">
        <f>H62/8</f>
        <v>-2</v>
      </c>
      <c r="I59" s="2">
        <f>I63/16</f>
        <v>-0.75</v>
      </c>
      <c r="J59" s="2">
        <f>J64/32</f>
        <v>0.75</v>
      </c>
      <c r="K59" s="2">
        <f>K65/64</f>
        <v>0</v>
      </c>
      <c r="L59" s="2"/>
      <c r="M59" s="2"/>
      <c r="N59" s="2"/>
      <c r="O59" s="2"/>
      <c r="P59" s="2"/>
      <c r="Q59" s="2">
        <f>Q53/64</f>
        <v>-0.125</v>
      </c>
      <c r="R59" s="2">
        <f>R54/32</f>
        <v>-0.625</v>
      </c>
      <c r="S59" s="2">
        <f>S55/16</f>
        <v>-0.5</v>
      </c>
      <c r="T59" s="2">
        <f>T56/8</f>
        <v>-2.5</v>
      </c>
      <c r="U59" s="2">
        <f>U57/4</f>
        <v>2</v>
      </c>
      <c r="V59" s="2">
        <f>V58/2</f>
        <v>1</v>
      </c>
      <c r="W59" s="4">
        <f t="shared" si="0"/>
        <v>-2.75</v>
      </c>
    </row>
    <row r="60" spans="1:23" ht="18" x14ac:dyDescent="0.2">
      <c r="A60" s="2">
        <v>52</v>
      </c>
      <c r="B60" s="2">
        <v>39</v>
      </c>
      <c r="C60" s="2">
        <v>40</v>
      </c>
      <c r="D60" s="2">
        <f t="shared" si="1"/>
        <v>1</v>
      </c>
      <c r="E60" s="2">
        <f>E59/2</f>
        <v>-2</v>
      </c>
      <c r="F60" s="2">
        <f>D60*2</f>
        <v>2</v>
      </c>
      <c r="G60" s="2">
        <f>G61/2</f>
        <v>8</v>
      </c>
      <c r="H60" s="2">
        <f>H62/4</f>
        <v>-4</v>
      </c>
      <c r="I60" s="2">
        <f>I63/8</f>
        <v>-1.5</v>
      </c>
      <c r="J60" s="2">
        <f>J64/16</f>
        <v>1.5</v>
      </c>
      <c r="K60" s="2">
        <f>K65/32</f>
        <v>0</v>
      </c>
      <c r="L60" s="2">
        <f>L66/64</f>
        <v>0</v>
      </c>
      <c r="M60" s="2"/>
      <c r="N60" s="2"/>
      <c r="O60" s="2"/>
      <c r="P60" s="2"/>
      <c r="Q60" s="2"/>
      <c r="R60" s="2">
        <f>R54/64</f>
        <v>-0.3125</v>
      </c>
      <c r="S60" s="2">
        <f>S55/32</f>
        <v>-0.25</v>
      </c>
      <c r="T60" s="2">
        <f>T56/16</f>
        <v>-1.25</v>
      </c>
      <c r="U60" s="2">
        <f>U57/8</f>
        <v>1</v>
      </c>
      <c r="V60" s="2">
        <f>V58/4</f>
        <v>0.5</v>
      </c>
      <c r="W60" s="4">
        <f t="shared" si="0"/>
        <v>3.1875</v>
      </c>
    </row>
    <row r="61" spans="1:23" ht="18" x14ac:dyDescent="0.2">
      <c r="A61" s="2">
        <v>53</v>
      </c>
      <c r="B61" s="2">
        <v>12</v>
      </c>
      <c r="C61" s="2">
        <v>20</v>
      </c>
      <c r="D61" s="2">
        <f t="shared" si="1"/>
        <v>8</v>
      </c>
      <c r="E61" s="2">
        <f>E59/4</f>
        <v>-1</v>
      </c>
      <c r="F61" s="2">
        <f>F60/2</f>
        <v>1</v>
      </c>
      <c r="G61" s="2">
        <f>D61*2</f>
        <v>16</v>
      </c>
      <c r="H61" s="2">
        <f>H62/2</f>
        <v>-8</v>
      </c>
      <c r="I61" s="2">
        <f>I63/4</f>
        <v>-3</v>
      </c>
      <c r="J61" s="2">
        <f>J64/8</f>
        <v>3</v>
      </c>
      <c r="K61" s="2">
        <f>K65/16</f>
        <v>0</v>
      </c>
      <c r="L61" s="2">
        <f>L66/32</f>
        <v>0</v>
      </c>
      <c r="M61" s="2">
        <f>M67/64</f>
        <v>0</v>
      </c>
      <c r="N61" s="2"/>
      <c r="O61" s="2"/>
      <c r="P61" s="2"/>
      <c r="Q61" s="2"/>
      <c r="R61" s="2"/>
      <c r="S61" s="2">
        <f>S55/64</f>
        <v>-0.125</v>
      </c>
      <c r="T61" s="2">
        <f>T56/32</f>
        <v>-0.625</v>
      </c>
      <c r="U61" s="2">
        <f>U57/16</f>
        <v>0.5</v>
      </c>
      <c r="V61" s="2">
        <f>V58/8</f>
        <v>0.25</v>
      </c>
      <c r="W61" s="4">
        <f t="shared" si="0"/>
        <v>7.75</v>
      </c>
    </row>
    <row r="62" spans="1:23" ht="18" x14ac:dyDescent="0.2">
      <c r="A62" s="2">
        <v>54</v>
      </c>
      <c r="B62" s="2">
        <v>8</v>
      </c>
      <c r="C62" s="2">
        <v>0</v>
      </c>
      <c r="D62" s="2">
        <f t="shared" si="1"/>
        <v>-8</v>
      </c>
      <c r="E62" s="2">
        <f>E59/8</f>
        <v>-0.5</v>
      </c>
      <c r="F62" s="2">
        <f>F60/4</f>
        <v>0.5</v>
      </c>
      <c r="G62" s="2">
        <f>G61/2</f>
        <v>8</v>
      </c>
      <c r="H62" s="2">
        <f>D62*2</f>
        <v>-16</v>
      </c>
      <c r="I62" s="2">
        <f>I63/2</f>
        <v>-6</v>
      </c>
      <c r="J62" s="2">
        <f>J64/4</f>
        <v>6</v>
      </c>
      <c r="K62" s="2">
        <f>K65/8</f>
        <v>0</v>
      </c>
      <c r="L62" s="2">
        <f>L66/16</f>
        <v>0</v>
      </c>
      <c r="M62" s="2">
        <f>M67/32</f>
        <v>0</v>
      </c>
      <c r="N62" s="2">
        <f>N68/64</f>
        <v>0</v>
      </c>
      <c r="O62" s="2"/>
      <c r="P62" s="2"/>
      <c r="Q62" s="2"/>
      <c r="R62" s="2"/>
      <c r="S62" s="2"/>
      <c r="T62" s="2">
        <f>T56/64</f>
        <v>-0.3125</v>
      </c>
      <c r="U62" s="2">
        <f>U57/32</f>
        <v>0.25</v>
      </c>
      <c r="V62" s="2">
        <f>V58/16</f>
        <v>0.125</v>
      </c>
      <c r="W62" s="4">
        <f t="shared" si="0"/>
        <v>-8.0625</v>
      </c>
    </row>
    <row r="63" spans="1:23" ht="18" x14ac:dyDescent="0.2">
      <c r="A63" s="2" t="s">
        <v>7</v>
      </c>
      <c r="B63" s="2">
        <v>6</v>
      </c>
      <c r="C63" s="2">
        <v>0</v>
      </c>
      <c r="D63" s="2">
        <f t="shared" si="1"/>
        <v>-6</v>
      </c>
      <c r="E63" s="2">
        <f>E59/16</f>
        <v>-0.25</v>
      </c>
      <c r="F63" s="2">
        <f>F60/8</f>
        <v>0.25</v>
      </c>
      <c r="G63" s="2">
        <f>G61/4</f>
        <v>4</v>
      </c>
      <c r="H63" s="2">
        <f>H62/2</f>
        <v>-8</v>
      </c>
      <c r="I63" s="2">
        <f>D63*2</f>
        <v>-12</v>
      </c>
      <c r="J63" s="2">
        <f>J64/2</f>
        <v>12</v>
      </c>
      <c r="K63" s="2">
        <f>K65/4</f>
        <v>0</v>
      </c>
      <c r="L63" s="2">
        <f>L66/8</f>
        <v>0</v>
      </c>
      <c r="M63" s="2">
        <f>M67/16</f>
        <v>0</v>
      </c>
      <c r="N63" s="2">
        <f>N68/32</f>
        <v>0</v>
      </c>
      <c r="O63" s="2">
        <f>O69/64</f>
        <v>0</v>
      </c>
      <c r="P63" s="2"/>
      <c r="Q63" s="2"/>
      <c r="R63" s="2"/>
      <c r="S63" s="2"/>
      <c r="T63" s="2"/>
      <c r="U63" s="2">
        <f>U57/64</f>
        <v>0.125</v>
      </c>
      <c r="V63" s="2">
        <f>V58/32</f>
        <v>6.25E-2</v>
      </c>
      <c r="W63" s="4">
        <f t="shared" si="0"/>
        <v>-3.875</v>
      </c>
    </row>
    <row r="64" spans="1:23" ht="18" x14ac:dyDescent="0.2">
      <c r="A64" s="2" t="s">
        <v>8</v>
      </c>
      <c r="B64" s="2">
        <v>-12</v>
      </c>
      <c r="C64" s="2">
        <v>0</v>
      </c>
      <c r="D64" s="2">
        <f t="shared" si="1"/>
        <v>12</v>
      </c>
      <c r="E64" s="2">
        <f>E59/32</f>
        <v>-0.125</v>
      </c>
      <c r="F64" s="2">
        <f>F60/16</f>
        <v>0.125</v>
      </c>
      <c r="G64" s="2">
        <f>G61/8</f>
        <v>2</v>
      </c>
      <c r="H64" s="2">
        <f>H62/4</f>
        <v>-4</v>
      </c>
      <c r="I64" s="2">
        <f>I63/2</f>
        <v>-6</v>
      </c>
      <c r="J64" s="2">
        <f>D64*2</f>
        <v>24</v>
      </c>
      <c r="K64" s="2">
        <f>K65/2</f>
        <v>0</v>
      </c>
      <c r="L64" s="2">
        <f>L66/4</f>
        <v>0</v>
      </c>
      <c r="M64" s="2">
        <f>M67/8</f>
        <v>0</v>
      </c>
      <c r="N64" s="2">
        <f>N68/16</f>
        <v>0</v>
      </c>
      <c r="O64" s="2">
        <f>O69/32</f>
        <v>0</v>
      </c>
      <c r="P64" s="2">
        <f>P70/64</f>
        <v>0</v>
      </c>
      <c r="Q64" s="2"/>
      <c r="R64" s="2"/>
      <c r="S64" s="2"/>
      <c r="T64" s="2"/>
      <c r="U64" s="2"/>
      <c r="V64" s="2">
        <f>V58/64</f>
        <v>3.125E-2</v>
      </c>
      <c r="W64" s="4">
        <f t="shared" si="0"/>
        <v>16</v>
      </c>
    </row>
    <row r="65" spans="1:23" ht="18" x14ac:dyDescent="0.2">
      <c r="A65" s="2" t="s">
        <v>9</v>
      </c>
      <c r="B65" s="2">
        <v>0</v>
      </c>
      <c r="C65" s="2">
        <v>0</v>
      </c>
      <c r="D65" s="2">
        <f t="shared" si="1"/>
        <v>0</v>
      </c>
      <c r="E65" s="2">
        <f>E59/64</f>
        <v>-6.25E-2</v>
      </c>
      <c r="F65" s="2">
        <f>F60/32</f>
        <v>6.25E-2</v>
      </c>
      <c r="G65" s="2">
        <f>G61/16</f>
        <v>1</v>
      </c>
      <c r="H65" s="2">
        <f>H62/8</f>
        <v>-2</v>
      </c>
      <c r="I65" s="2">
        <f>I63/4</f>
        <v>-3</v>
      </c>
      <c r="J65" s="2">
        <f>J64/2</f>
        <v>12</v>
      </c>
      <c r="K65" s="2">
        <f>D65*2</f>
        <v>0</v>
      </c>
      <c r="L65" s="2">
        <f>L66/2</f>
        <v>0</v>
      </c>
      <c r="M65" s="2">
        <f>M67/4</f>
        <v>0</v>
      </c>
      <c r="N65" s="2">
        <f>N68/8</f>
        <v>0</v>
      </c>
      <c r="O65" s="2">
        <f>O69/16</f>
        <v>0</v>
      </c>
      <c r="P65" s="2">
        <f>P70/32</f>
        <v>0</v>
      </c>
      <c r="Q65" s="2">
        <f>Q71/64</f>
        <v>0</v>
      </c>
      <c r="R65" s="2"/>
      <c r="S65" s="2"/>
      <c r="T65" s="2"/>
      <c r="U65" s="2"/>
      <c r="V65" s="2"/>
      <c r="W65" s="4">
        <f t="shared" si="0"/>
        <v>8</v>
      </c>
    </row>
    <row r="66" spans="1:23" ht="18" hidden="1" x14ac:dyDescent="0.25">
      <c r="A66" s="9">
        <v>58</v>
      </c>
      <c r="B66" s="9">
        <v>0</v>
      </c>
      <c r="C66" s="9">
        <v>0</v>
      </c>
      <c r="D66" s="5">
        <f t="shared" si="1"/>
        <v>0</v>
      </c>
      <c r="E66" s="2"/>
      <c r="F66" s="2">
        <f>F60/64</f>
        <v>3.125E-2</v>
      </c>
      <c r="G66" s="2">
        <f>G61/32</f>
        <v>0.5</v>
      </c>
      <c r="H66" s="2">
        <f>H62/16</f>
        <v>-1</v>
      </c>
      <c r="I66" s="2">
        <f>I63/8</f>
        <v>-1.5</v>
      </c>
      <c r="J66" s="2">
        <f>J64/4</f>
        <v>6</v>
      </c>
      <c r="K66" s="2">
        <f>K65/2</f>
        <v>0</v>
      </c>
      <c r="L66" s="2">
        <f>D66*2</f>
        <v>0</v>
      </c>
      <c r="M66" s="2">
        <f>M67/2</f>
        <v>0</v>
      </c>
      <c r="N66" s="2">
        <f>N68/4</f>
        <v>0</v>
      </c>
      <c r="O66" s="2">
        <f>O69/8</f>
        <v>0</v>
      </c>
      <c r="P66" s="2">
        <f>P70/16</f>
        <v>0</v>
      </c>
      <c r="Q66" s="2">
        <f>Q71/32</f>
        <v>0</v>
      </c>
      <c r="R66" s="2">
        <f>R72/64</f>
        <v>0</v>
      </c>
      <c r="S66" s="2"/>
      <c r="T66" s="2"/>
      <c r="U66" s="2"/>
      <c r="V66" s="2"/>
      <c r="W66" s="6">
        <f t="shared" si="0"/>
        <v>4.03125</v>
      </c>
    </row>
    <row r="67" spans="1:23" ht="18" hidden="1" x14ac:dyDescent="0.25">
      <c r="A67" s="9">
        <v>59</v>
      </c>
      <c r="B67" s="9">
        <v>0</v>
      </c>
      <c r="C67" s="9">
        <v>0</v>
      </c>
      <c r="D67" s="5">
        <f t="shared" si="1"/>
        <v>0</v>
      </c>
      <c r="E67" s="2"/>
      <c r="F67" s="2"/>
      <c r="G67" s="2">
        <f>G61/64</f>
        <v>0.25</v>
      </c>
      <c r="H67" s="2">
        <f>H62/32</f>
        <v>-0.5</v>
      </c>
      <c r="I67" s="2">
        <f>I63/16</f>
        <v>-0.75</v>
      </c>
      <c r="J67" s="2">
        <f>J64/8</f>
        <v>3</v>
      </c>
      <c r="K67" s="2">
        <f>K65/4</f>
        <v>0</v>
      </c>
      <c r="L67" s="2">
        <f>L66/2</f>
        <v>0</v>
      </c>
      <c r="M67" s="2">
        <f>D67*2</f>
        <v>0</v>
      </c>
      <c r="N67" s="2">
        <f>N68/2</f>
        <v>0</v>
      </c>
      <c r="O67" s="2">
        <f>O69/4</f>
        <v>0</v>
      </c>
      <c r="P67" s="2">
        <f>P70/8</f>
        <v>0</v>
      </c>
      <c r="Q67" s="2">
        <f>Q71/16</f>
        <v>0</v>
      </c>
      <c r="R67" s="2">
        <f>R72/32</f>
        <v>0</v>
      </c>
      <c r="S67" s="2">
        <f>S73/64</f>
        <v>0</v>
      </c>
      <c r="T67" s="2"/>
      <c r="U67" s="2"/>
      <c r="V67" s="2"/>
      <c r="W67" s="6">
        <f t="shared" ref="W67:W97" si="2">SUM(E67:U67)</f>
        <v>2</v>
      </c>
    </row>
    <row r="68" spans="1:23" ht="18" hidden="1" x14ac:dyDescent="0.25">
      <c r="A68" s="9">
        <v>60</v>
      </c>
      <c r="B68" s="9">
        <v>0</v>
      </c>
      <c r="C68" s="9">
        <v>0</v>
      </c>
      <c r="D68" s="5">
        <f t="shared" ref="D68:D99" si="3">C68-B68</f>
        <v>0</v>
      </c>
      <c r="E68" s="2"/>
      <c r="F68" s="2"/>
      <c r="G68" s="2"/>
      <c r="H68" s="2">
        <f>H62/64</f>
        <v>-0.25</v>
      </c>
      <c r="I68" s="2">
        <f>I63/32</f>
        <v>-0.375</v>
      </c>
      <c r="J68" s="2">
        <f>J64/16</f>
        <v>1.5</v>
      </c>
      <c r="K68" s="2">
        <f>K65/8</f>
        <v>0</v>
      </c>
      <c r="L68" s="2">
        <f>L66/4</f>
        <v>0</v>
      </c>
      <c r="M68" s="2">
        <f>M67/2</f>
        <v>0</v>
      </c>
      <c r="N68" s="2">
        <f>D68*2</f>
        <v>0</v>
      </c>
      <c r="O68" s="2">
        <f>O69/2</f>
        <v>0</v>
      </c>
      <c r="P68" s="2">
        <f>P70/4</f>
        <v>0</v>
      </c>
      <c r="Q68" s="2">
        <f>Q71/8</f>
        <v>0</v>
      </c>
      <c r="R68" s="2">
        <f>R72/16</f>
        <v>0</v>
      </c>
      <c r="S68" s="2">
        <f>S73/32</f>
        <v>0</v>
      </c>
      <c r="T68" s="2">
        <f>T74/64</f>
        <v>0</v>
      </c>
      <c r="U68" s="2"/>
      <c r="V68" s="2"/>
      <c r="W68" s="6">
        <f t="shared" si="2"/>
        <v>0.875</v>
      </c>
    </row>
    <row r="69" spans="1:23" ht="18" hidden="1" x14ac:dyDescent="0.25">
      <c r="A69" s="9">
        <v>61</v>
      </c>
      <c r="B69" s="9">
        <v>0</v>
      </c>
      <c r="C69" s="9">
        <v>0</v>
      </c>
      <c r="D69" s="5">
        <f t="shared" si="3"/>
        <v>0</v>
      </c>
      <c r="E69" s="2"/>
      <c r="F69" s="2"/>
      <c r="G69" s="2"/>
      <c r="H69" s="2"/>
      <c r="I69" s="2">
        <f>I63/64</f>
        <v>-0.1875</v>
      </c>
      <c r="J69" s="2">
        <f>J64/32</f>
        <v>0.75</v>
      </c>
      <c r="K69" s="2">
        <f>K65/16</f>
        <v>0</v>
      </c>
      <c r="L69" s="2">
        <f>L66/8</f>
        <v>0</v>
      </c>
      <c r="M69" s="2">
        <f>M67/4</f>
        <v>0</v>
      </c>
      <c r="N69" s="2">
        <f>N68/2</f>
        <v>0</v>
      </c>
      <c r="O69" s="2">
        <f>D69*2</f>
        <v>0</v>
      </c>
      <c r="P69" s="2">
        <f>P70/2</f>
        <v>0</v>
      </c>
      <c r="Q69" s="2">
        <f>Q71/4</f>
        <v>0</v>
      </c>
      <c r="R69" s="2">
        <f>R72/8</f>
        <v>0</v>
      </c>
      <c r="S69" s="2">
        <f>S73/16</f>
        <v>0</v>
      </c>
      <c r="T69" s="2">
        <f>T74/32</f>
        <v>0</v>
      </c>
      <c r="U69" s="2">
        <f>U75/64</f>
        <v>0</v>
      </c>
      <c r="V69" s="2"/>
      <c r="W69" s="6">
        <f t="shared" si="2"/>
        <v>0.5625</v>
      </c>
    </row>
    <row r="70" spans="1:23" ht="18" hidden="1" x14ac:dyDescent="0.25">
      <c r="A70" s="9">
        <v>62</v>
      </c>
      <c r="B70" s="9">
        <v>0</v>
      </c>
      <c r="C70" s="9">
        <v>0</v>
      </c>
      <c r="D70" s="5">
        <f t="shared" si="3"/>
        <v>0</v>
      </c>
      <c r="E70" s="2">
        <f>E76/64</f>
        <v>0</v>
      </c>
      <c r="F70" s="2"/>
      <c r="G70" s="2"/>
      <c r="H70" s="2"/>
      <c r="I70" s="2"/>
      <c r="J70" s="2">
        <f>J64/64</f>
        <v>0.375</v>
      </c>
      <c r="K70" s="2">
        <f>K65/32</f>
        <v>0</v>
      </c>
      <c r="L70" s="2">
        <f>L66/16</f>
        <v>0</v>
      </c>
      <c r="M70" s="2">
        <f>M67/8</f>
        <v>0</v>
      </c>
      <c r="N70" s="2">
        <f>N68/4</f>
        <v>0</v>
      </c>
      <c r="O70" s="2">
        <f>O69/2</f>
        <v>0</v>
      </c>
      <c r="P70" s="2">
        <f>D70*2</f>
        <v>0</v>
      </c>
      <c r="Q70" s="2">
        <f>Q71/2</f>
        <v>0</v>
      </c>
      <c r="R70" s="2">
        <f>R72/4</f>
        <v>0</v>
      </c>
      <c r="S70" s="2">
        <f>S73/8</f>
        <v>0</v>
      </c>
      <c r="T70" s="2">
        <f>T74/16</f>
        <v>0</v>
      </c>
      <c r="U70" s="2">
        <f>U75/32</f>
        <v>0</v>
      </c>
      <c r="V70" s="2">
        <f>V76/64</f>
        <v>0</v>
      </c>
      <c r="W70" s="6">
        <f t="shared" si="2"/>
        <v>0.375</v>
      </c>
    </row>
    <row r="71" spans="1:23" ht="18" hidden="1" x14ac:dyDescent="0.25">
      <c r="A71" s="9">
        <v>63</v>
      </c>
      <c r="B71" s="9">
        <v>0</v>
      </c>
      <c r="C71" s="9">
        <v>0</v>
      </c>
      <c r="D71" s="5">
        <f t="shared" si="3"/>
        <v>0</v>
      </c>
      <c r="E71" s="2">
        <f>E76/32</f>
        <v>0</v>
      </c>
      <c r="F71" s="2">
        <f>F77/64</f>
        <v>0</v>
      </c>
      <c r="G71" s="2"/>
      <c r="H71" s="2"/>
      <c r="I71" s="2"/>
      <c r="J71" s="2"/>
      <c r="K71" s="2">
        <f>K65/64</f>
        <v>0</v>
      </c>
      <c r="L71" s="2">
        <f>L66/32</f>
        <v>0</v>
      </c>
      <c r="M71" s="2">
        <f>M67/16</f>
        <v>0</v>
      </c>
      <c r="N71" s="2">
        <f>N68/8</f>
        <v>0</v>
      </c>
      <c r="O71" s="2">
        <f>O69/4</f>
        <v>0</v>
      </c>
      <c r="P71" s="2">
        <f>P70/2</f>
        <v>0</v>
      </c>
      <c r="Q71" s="2">
        <f>D71*2</f>
        <v>0</v>
      </c>
      <c r="R71" s="2">
        <f>R72/2</f>
        <v>0</v>
      </c>
      <c r="S71" s="2">
        <f>S73/4</f>
        <v>0</v>
      </c>
      <c r="T71" s="2">
        <f>T74/8</f>
        <v>0</v>
      </c>
      <c r="U71" s="2">
        <f>U75/16</f>
        <v>0</v>
      </c>
      <c r="V71" s="2">
        <f>V76/32</f>
        <v>0</v>
      </c>
      <c r="W71" s="6">
        <f t="shared" si="2"/>
        <v>0</v>
      </c>
    </row>
    <row r="72" spans="1:23" ht="18" hidden="1" x14ac:dyDescent="0.25">
      <c r="A72" s="9">
        <v>64</v>
      </c>
      <c r="B72" s="9">
        <v>0</v>
      </c>
      <c r="C72" s="9">
        <v>0</v>
      </c>
      <c r="D72" s="5">
        <f t="shared" si="3"/>
        <v>0</v>
      </c>
      <c r="E72" s="2">
        <f>E76/16</f>
        <v>0</v>
      </c>
      <c r="F72" s="2">
        <f>F77/32</f>
        <v>0</v>
      </c>
      <c r="G72" s="2">
        <f>G78/64</f>
        <v>0</v>
      </c>
      <c r="H72" s="2"/>
      <c r="I72" s="2"/>
      <c r="J72" s="2"/>
      <c r="K72" s="2"/>
      <c r="L72" s="2">
        <f>L66/64</f>
        <v>0</v>
      </c>
      <c r="M72" s="2">
        <f>M67/32</f>
        <v>0</v>
      </c>
      <c r="N72" s="2">
        <f>N68/16</f>
        <v>0</v>
      </c>
      <c r="O72" s="2">
        <f>O69/8</f>
        <v>0</v>
      </c>
      <c r="P72" s="2">
        <f>P70/4</f>
        <v>0</v>
      </c>
      <c r="Q72" s="2">
        <f>Q71/2</f>
        <v>0</v>
      </c>
      <c r="R72" s="2">
        <f>D72*2</f>
        <v>0</v>
      </c>
      <c r="S72" s="2">
        <f>S73/2</f>
        <v>0</v>
      </c>
      <c r="T72" s="2">
        <f>T74/4</f>
        <v>0</v>
      </c>
      <c r="U72" s="2">
        <f>U75/8</f>
        <v>0</v>
      </c>
      <c r="V72" s="2">
        <f>V76/16</f>
        <v>0</v>
      </c>
      <c r="W72" s="6">
        <f t="shared" si="2"/>
        <v>0</v>
      </c>
    </row>
    <row r="73" spans="1:23" ht="18" hidden="1" x14ac:dyDescent="0.25">
      <c r="A73" s="9">
        <v>65</v>
      </c>
      <c r="B73" s="9">
        <v>0</v>
      </c>
      <c r="C73" s="9">
        <v>0</v>
      </c>
      <c r="D73" s="5">
        <f t="shared" si="3"/>
        <v>0</v>
      </c>
      <c r="E73" s="2">
        <f>E76/8</f>
        <v>0</v>
      </c>
      <c r="F73" s="2">
        <f>F77/16</f>
        <v>0</v>
      </c>
      <c r="G73" s="2">
        <f>G78/32</f>
        <v>0</v>
      </c>
      <c r="H73" s="2">
        <f>H79/64</f>
        <v>0</v>
      </c>
      <c r="I73" s="2"/>
      <c r="J73" s="2"/>
      <c r="K73" s="2"/>
      <c r="L73" s="2"/>
      <c r="M73" s="2">
        <f>M67/64</f>
        <v>0</v>
      </c>
      <c r="N73" s="2">
        <f>N68/32</f>
        <v>0</v>
      </c>
      <c r="O73" s="2">
        <f>O69/16</f>
        <v>0</v>
      </c>
      <c r="P73" s="2">
        <f>P70/8</f>
        <v>0</v>
      </c>
      <c r="Q73" s="2">
        <f>Q71/4</f>
        <v>0</v>
      </c>
      <c r="R73" s="2">
        <f>R72/2</f>
        <v>0</v>
      </c>
      <c r="S73" s="2">
        <f>D73*2</f>
        <v>0</v>
      </c>
      <c r="T73" s="2">
        <f>T74/2</f>
        <v>0</v>
      </c>
      <c r="U73" s="2">
        <f>U75/4</f>
        <v>0</v>
      </c>
      <c r="V73" s="2">
        <f>V76/8</f>
        <v>0</v>
      </c>
      <c r="W73" s="6">
        <f t="shared" si="2"/>
        <v>0</v>
      </c>
    </row>
    <row r="74" spans="1:23" ht="18" hidden="1" x14ac:dyDescent="0.25">
      <c r="A74" s="9">
        <v>66</v>
      </c>
      <c r="B74" s="9">
        <v>0</v>
      </c>
      <c r="C74" s="9">
        <v>0</v>
      </c>
      <c r="D74" s="5">
        <f t="shared" si="3"/>
        <v>0</v>
      </c>
      <c r="E74" s="2">
        <f>E76/4</f>
        <v>0</v>
      </c>
      <c r="F74" s="2">
        <f>F77/8</f>
        <v>0</v>
      </c>
      <c r="G74" s="2">
        <f>G78/16</f>
        <v>0</v>
      </c>
      <c r="H74" s="2">
        <f>H79/32</f>
        <v>0</v>
      </c>
      <c r="I74" s="2">
        <f>I80/64</f>
        <v>0</v>
      </c>
      <c r="J74" s="2"/>
      <c r="K74" s="2"/>
      <c r="L74" s="2"/>
      <c r="M74" s="2"/>
      <c r="N74" s="2">
        <f>N68/64</f>
        <v>0</v>
      </c>
      <c r="O74" s="2">
        <f>O69/32</f>
        <v>0</v>
      </c>
      <c r="P74" s="2">
        <f>P70/16</f>
        <v>0</v>
      </c>
      <c r="Q74" s="2">
        <f>Q71/8</f>
        <v>0</v>
      </c>
      <c r="R74" s="2">
        <f>R72/4</f>
        <v>0</v>
      </c>
      <c r="S74" s="2">
        <f>S73/2</f>
        <v>0</v>
      </c>
      <c r="T74" s="2">
        <f>D74*2</f>
        <v>0</v>
      </c>
      <c r="U74" s="2">
        <f>U75/2</f>
        <v>0</v>
      </c>
      <c r="V74" s="2">
        <f>V76/4</f>
        <v>0</v>
      </c>
      <c r="W74" s="6">
        <f t="shared" si="2"/>
        <v>0</v>
      </c>
    </row>
    <row r="75" spans="1:23" ht="18" hidden="1" x14ac:dyDescent="0.25">
      <c r="A75" s="9">
        <v>67</v>
      </c>
      <c r="B75" s="9">
        <v>0</v>
      </c>
      <c r="C75" s="9">
        <v>0</v>
      </c>
      <c r="D75" s="5">
        <f t="shared" si="3"/>
        <v>0</v>
      </c>
      <c r="E75" s="2">
        <f>E76/2</f>
        <v>0</v>
      </c>
      <c r="F75" s="2">
        <f>F77/4</f>
        <v>0</v>
      </c>
      <c r="G75" s="2">
        <f>G78/8</f>
        <v>0</v>
      </c>
      <c r="H75" s="2">
        <f>H79/16</f>
        <v>0</v>
      </c>
      <c r="I75" s="2">
        <f>I80/32</f>
        <v>0</v>
      </c>
      <c r="J75" s="2">
        <f>J81/64</f>
        <v>0</v>
      </c>
      <c r="K75" s="2"/>
      <c r="L75" s="2"/>
      <c r="M75" s="2"/>
      <c r="N75" s="2"/>
      <c r="O75" s="2">
        <f>O69/64</f>
        <v>0</v>
      </c>
      <c r="P75" s="2">
        <f>P70/32</f>
        <v>0</v>
      </c>
      <c r="Q75" s="2">
        <f>Q71/16</f>
        <v>0</v>
      </c>
      <c r="R75" s="2">
        <f>R72/8</f>
        <v>0</v>
      </c>
      <c r="S75" s="2">
        <f>S73/4</f>
        <v>0</v>
      </c>
      <c r="T75" s="2">
        <f>T74/2</f>
        <v>0</v>
      </c>
      <c r="U75" s="2">
        <f>D75*2</f>
        <v>0</v>
      </c>
      <c r="V75" s="2">
        <f>V76/2</f>
        <v>0</v>
      </c>
      <c r="W75" s="6">
        <f t="shared" si="2"/>
        <v>0</v>
      </c>
    </row>
    <row r="76" spans="1:23" ht="18" hidden="1" x14ac:dyDescent="0.25">
      <c r="A76" s="9">
        <v>68</v>
      </c>
      <c r="B76" s="9">
        <v>0</v>
      </c>
      <c r="C76" s="9">
        <v>0</v>
      </c>
      <c r="D76" s="5">
        <f t="shared" si="3"/>
        <v>0</v>
      </c>
      <c r="E76" s="2">
        <f>D76*2</f>
        <v>0</v>
      </c>
      <c r="F76" s="2">
        <f>F77/2</f>
        <v>0</v>
      </c>
      <c r="G76" s="2">
        <f>G78/4</f>
        <v>0</v>
      </c>
      <c r="H76" s="2">
        <f>H79/8</f>
        <v>0</v>
      </c>
      <c r="I76" s="2">
        <f>I80/16</f>
        <v>0</v>
      </c>
      <c r="J76" s="2">
        <f>J81/32</f>
        <v>0</v>
      </c>
      <c r="K76" s="2">
        <f>K82/64</f>
        <v>0</v>
      </c>
      <c r="L76" s="2"/>
      <c r="M76" s="2"/>
      <c r="N76" s="2"/>
      <c r="O76" s="2"/>
      <c r="P76" s="2">
        <f>P70/64</f>
        <v>0</v>
      </c>
      <c r="Q76" s="2">
        <f>Q71/32</f>
        <v>0</v>
      </c>
      <c r="R76" s="2">
        <f>R72/16</f>
        <v>0</v>
      </c>
      <c r="S76" s="2">
        <f>S73/8</f>
        <v>0</v>
      </c>
      <c r="T76" s="2">
        <f>T74/4</f>
        <v>0</v>
      </c>
      <c r="U76" s="2">
        <f>U75/2</f>
        <v>0</v>
      </c>
      <c r="V76" s="2">
        <f>E76*2</f>
        <v>0</v>
      </c>
      <c r="W76" s="6">
        <f t="shared" si="2"/>
        <v>0</v>
      </c>
    </row>
    <row r="77" spans="1:23" ht="18" hidden="1" x14ac:dyDescent="0.25">
      <c r="A77" s="9">
        <v>69</v>
      </c>
      <c r="B77" s="9">
        <v>0</v>
      </c>
      <c r="C77" s="9">
        <v>0</v>
      </c>
      <c r="D77" s="5">
        <f t="shared" si="3"/>
        <v>0</v>
      </c>
      <c r="E77" s="2">
        <f>E76/2</f>
        <v>0</v>
      </c>
      <c r="F77" s="2">
        <f>D77*2</f>
        <v>0</v>
      </c>
      <c r="G77" s="2">
        <f>G78/2</f>
        <v>0</v>
      </c>
      <c r="H77" s="2">
        <f>H79/4</f>
        <v>0</v>
      </c>
      <c r="I77" s="2">
        <f>I80/8</f>
        <v>0</v>
      </c>
      <c r="J77" s="2">
        <f>J81/16</f>
        <v>0</v>
      </c>
      <c r="K77" s="2">
        <f>K82/32</f>
        <v>0</v>
      </c>
      <c r="L77" s="2">
        <f>L83/64</f>
        <v>0</v>
      </c>
      <c r="M77" s="2"/>
      <c r="N77" s="2"/>
      <c r="O77" s="2"/>
      <c r="P77" s="2"/>
      <c r="Q77" s="2">
        <f>Q71/64</f>
        <v>0</v>
      </c>
      <c r="R77" s="2">
        <f>R72/32</f>
        <v>0</v>
      </c>
      <c r="S77" s="2">
        <f>S73/16</f>
        <v>0</v>
      </c>
      <c r="T77" s="2">
        <f>T74/8</f>
        <v>0</v>
      </c>
      <c r="U77" s="2">
        <f>U75/4</f>
        <v>0</v>
      </c>
      <c r="V77" s="2">
        <f>V76/2</f>
        <v>0</v>
      </c>
      <c r="W77" s="6">
        <f t="shared" si="2"/>
        <v>0</v>
      </c>
    </row>
    <row r="78" spans="1:23" ht="18" hidden="1" x14ac:dyDescent="0.25">
      <c r="A78" s="9">
        <v>70</v>
      </c>
      <c r="B78" s="9">
        <v>0</v>
      </c>
      <c r="C78" s="9">
        <v>0</v>
      </c>
      <c r="D78" s="5">
        <f t="shared" si="3"/>
        <v>0</v>
      </c>
      <c r="E78" s="2">
        <f>E76/4</f>
        <v>0</v>
      </c>
      <c r="F78" s="2">
        <f>F77/2</f>
        <v>0</v>
      </c>
      <c r="G78" s="2">
        <f>D78*2</f>
        <v>0</v>
      </c>
      <c r="H78" s="2">
        <f>H79/2</f>
        <v>0</v>
      </c>
      <c r="I78" s="2">
        <f>I80/4</f>
        <v>0</v>
      </c>
      <c r="J78" s="2">
        <f>J81/8</f>
        <v>0</v>
      </c>
      <c r="K78" s="2">
        <f>K82/16</f>
        <v>0</v>
      </c>
      <c r="L78" s="2">
        <f>L83/32</f>
        <v>0</v>
      </c>
      <c r="M78" s="2">
        <f>M84/64</f>
        <v>0</v>
      </c>
      <c r="N78" s="2"/>
      <c r="O78" s="2"/>
      <c r="P78" s="2"/>
      <c r="Q78" s="2"/>
      <c r="R78" s="2">
        <f>R72/64</f>
        <v>0</v>
      </c>
      <c r="S78" s="2">
        <f>S73/32</f>
        <v>0</v>
      </c>
      <c r="T78" s="2">
        <f>T74/16</f>
        <v>0</v>
      </c>
      <c r="U78" s="2">
        <f>U75/8</f>
        <v>0</v>
      </c>
      <c r="V78" s="2">
        <f>V76/4</f>
        <v>0</v>
      </c>
      <c r="W78" s="6">
        <f t="shared" si="2"/>
        <v>0</v>
      </c>
    </row>
    <row r="79" spans="1:23" ht="18" hidden="1" x14ac:dyDescent="0.25">
      <c r="A79" s="9">
        <v>71</v>
      </c>
      <c r="B79" s="9">
        <v>0</v>
      </c>
      <c r="C79" s="9">
        <v>0</v>
      </c>
      <c r="D79" s="5">
        <f t="shared" si="3"/>
        <v>0</v>
      </c>
      <c r="E79" s="2">
        <f>E76/8</f>
        <v>0</v>
      </c>
      <c r="F79" s="2">
        <f>F77/4</f>
        <v>0</v>
      </c>
      <c r="G79" s="2">
        <f>G78/2</f>
        <v>0</v>
      </c>
      <c r="H79" s="2">
        <f>D79*2</f>
        <v>0</v>
      </c>
      <c r="I79" s="2">
        <f>I80/2</f>
        <v>0</v>
      </c>
      <c r="J79" s="2">
        <f>J81/4</f>
        <v>0</v>
      </c>
      <c r="K79" s="2">
        <f>K82/8</f>
        <v>0</v>
      </c>
      <c r="L79" s="2">
        <f>L83/16</f>
        <v>0</v>
      </c>
      <c r="M79" s="2">
        <f>M84/32</f>
        <v>0</v>
      </c>
      <c r="N79" s="2">
        <f>N85/64</f>
        <v>0</v>
      </c>
      <c r="O79" s="2"/>
      <c r="P79" s="2"/>
      <c r="Q79" s="2"/>
      <c r="R79" s="2"/>
      <c r="S79" s="2">
        <f>S73/64</f>
        <v>0</v>
      </c>
      <c r="T79" s="2">
        <f>T74/32</f>
        <v>0</v>
      </c>
      <c r="U79" s="2">
        <f>U75/16</f>
        <v>0</v>
      </c>
      <c r="V79" s="2">
        <f>V76/8</f>
        <v>0</v>
      </c>
      <c r="W79" s="6">
        <f t="shared" si="2"/>
        <v>0</v>
      </c>
    </row>
    <row r="80" spans="1:23" ht="18" hidden="1" x14ac:dyDescent="0.25">
      <c r="A80" s="9">
        <v>72</v>
      </c>
      <c r="B80" s="9">
        <v>0</v>
      </c>
      <c r="C80" s="9">
        <v>0</v>
      </c>
      <c r="D80" s="5">
        <f t="shared" si="3"/>
        <v>0</v>
      </c>
      <c r="E80" s="2">
        <f>E76/16</f>
        <v>0</v>
      </c>
      <c r="F80" s="2">
        <f>F77/8</f>
        <v>0</v>
      </c>
      <c r="G80" s="2">
        <f>G78/4</f>
        <v>0</v>
      </c>
      <c r="H80" s="2">
        <f>H79/2</f>
        <v>0</v>
      </c>
      <c r="I80" s="2">
        <f>D80*2</f>
        <v>0</v>
      </c>
      <c r="J80" s="2">
        <f>J81/2</f>
        <v>0</v>
      </c>
      <c r="K80" s="2">
        <f>K82/4</f>
        <v>0</v>
      </c>
      <c r="L80" s="2">
        <f>L83/8</f>
        <v>0</v>
      </c>
      <c r="M80" s="2">
        <f>M84/16</f>
        <v>0</v>
      </c>
      <c r="N80" s="2">
        <f>N85/32</f>
        <v>0</v>
      </c>
      <c r="O80" s="2">
        <f>O86/64</f>
        <v>0</v>
      </c>
      <c r="P80" s="2"/>
      <c r="Q80" s="2"/>
      <c r="R80" s="2"/>
      <c r="S80" s="2"/>
      <c r="T80" s="2">
        <f>T74/64</f>
        <v>0</v>
      </c>
      <c r="U80" s="2">
        <f>U75/32</f>
        <v>0</v>
      </c>
      <c r="V80" s="2">
        <f>V76/16</f>
        <v>0</v>
      </c>
      <c r="W80" s="6">
        <f t="shared" si="2"/>
        <v>0</v>
      </c>
    </row>
    <row r="81" spans="1:23" ht="18" hidden="1" x14ac:dyDescent="0.25">
      <c r="A81" s="9">
        <v>73</v>
      </c>
      <c r="B81" s="9">
        <v>0</v>
      </c>
      <c r="C81" s="9">
        <v>0</v>
      </c>
      <c r="D81" s="5">
        <f t="shared" si="3"/>
        <v>0</v>
      </c>
      <c r="E81" s="2">
        <f>E76/32</f>
        <v>0</v>
      </c>
      <c r="F81" s="2">
        <f>F77/16</f>
        <v>0</v>
      </c>
      <c r="G81" s="2">
        <f>G78/8</f>
        <v>0</v>
      </c>
      <c r="H81" s="2">
        <f>H79/4</f>
        <v>0</v>
      </c>
      <c r="I81" s="2">
        <f>I80/2</f>
        <v>0</v>
      </c>
      <c r="J81" s="2">
        <f>D81*2</f>
        <v>0</v>
      </c>
      <c r="K81" s="2">
        <f>K82/2</f>
        <v>0</v>
      </c>
      <c r="L81" s="2">
        <f>L83/4</f>
        <v>0</v>
      </c>
      <c r="M81" s="2">
        <f>M84/8</f>
        <v>0</v>
      </c>
      <c r="N81" s="2">
        <f>N85/16</f>
        <v>0</v>
      </c>
      <c r="O81" s="2">
        <f>O86/32</f>
        <v>0</v>
      </c>
      <c r="P81" s="2">
        <f>P87/64</f>
        <v>0</v>
      </c>
      <c r="Q81" s="2"/>
      <c r="R81" s="2"/>
      <c r="S81" s="2"/>
      <c r="T81" s="2"/>
      <c r="U81" s="2">
        <f>U75/64</f>
        <v>0</v>
      </c>
      <c r="V81" s="2">
        <f>V76/32</f>
        <v>0</v>
      </c>
      <c r="W81" s="6">
        <f t="shared" si="2"/>
        <v>0</v>
      </c>
    </row>
    <row r="82" spans="1:23" ht="18" hidden="1" x14ac:dyDescent="0.25">
      <c r="A82" s="9">
        <v>74</v>
      </c>
      <c r="B82" s="9">
        <v>0</v>
      </c>
      <c r="C82" s="9">
        <v>0</v>
      </c>
      <c r="D82" s="5">
        <f t="shared" si="3"/>
        <v>0</v>
      </c>
      <c r="E82" s="2">
        <f>E76/64</f>
        <v>0</v>
      </c>
      <c r="F82" s="2">
        <f>F77/32</f>
        <v>0</v>
      </c>
      <c r="G82" s="2">
        <f>G78/16</f>
        <v>0</v>
      </c>
      <c r="H82" s="2">
        <f>H79/8</f>
        <v>0</v>
      </c>
      <c r="I82" s="2">
        <f>I80/4</f>
        <v>0</v>
      </c>
      <c r="J82" s="2">
        <f>J81/2</f>
        <v>0</v>
      </c>
      <c r="K82" s="2">
        <f>D82*2</f>
        <v>0</v>
      </c>
      <c r="L82" s="2">
        <f>L83/2</f>
        <v>0</v>
      </c>
      <c r="M82" s="2">
        <f>M84/4</f>
        <v>0</v>
      </c>
      <c r="N82" s="2">
        <f>N85/8</f>
        <v>0</v>
      </c>
      <c r="O82" s="2">
        <f>O86/16</f>
        <v>0</v>
      </c>
      <c r="P82" s="2">
        <f>P87/32</f>
        <v>0</v>
      </c>
      <c r="Q82" s="2">
        <f>Q88/64</f>
        <v>0</v>
      </c>
      <c r="R82" s="2"/>
      <c r="S82" s="2"/>
      <c r="T82" s="2"/>
      <c r="U82" s="2"/>
      <c r="V82" s="2">
        <f>V76/64</f>
        <v>0</v>
      </c>
      <c r="W82" s="6">
        <f t="shared" si="2"/>
        <v>0</v>
      </c>
    </row>
    <row r="83" spans="1:23" ht="18" hidden="1" x14ac:dyDescent="0.25">
      <c r="A83" s="9">
        <v>75</v>
      </c>
      <c r="B83" s="9">
        <v>0</v>
      </c>
      <c r="C83" s="9">
        <v>0</v>
      </c>
      <c r="D83" s="5">
        <f t="shared" si="3"/>
        <v>0</v>
      </c>
      <c r="E83" s="2"/>
      <c r="F83" s="2">
        <f>F77/64</f>
        <v>0</v>
      </c>
      <c r="G83" s="2">
        <f>G78/32</f>
        <v>0</v>
      </c>
      <c r="H83" s="2">
        <f>H79/16</f>
        <v>0</v>
      </c>
      <c r="I83" s="2">
        <f>I80/8</f>
        <v>0</v>
      </c>
      <c r="J83" s="2">
        <f>J81/4</f>
        <v>0</v>
      </c>
      <c r="K83" s="2">
        <f>K82/2</f>
        <v>0</v>
      </c>
      <c r="L83" s="2">
        <f>D83*2</f>
        <v>0</v>
      </c>
      <c r="M83" s="2">
        <f>M84/2</f>
        <v>0</v>
      </c>
      <c r="N83" s="2">
        <f>N85/4</f>
        <v>0</v>
      </c>
      <c r="O83" s="2">
        <f>O86/8</f>
        <v>0</v>
      </c>
      <c r="P83" s="2">
        <f>P87/16</f>
        <v>0</v>
      </c>
      <c r="Q83" s="2">
        <f>Q88/32</f>
        <v>0</v>
      </c>
      <c r="R83" s="2">
        <f>R89/64</f>
        <v>0</v>
      </c>
      <c r="S83" s="2"/>
      <c r="T83" s="2"/>
      <c r="U83" s="2"/>
      <c r="V83" s="2"/>
      <c r="W83" s="6">
        <f t="shared" si="2"/>
        <v>0</v>
      </c>
    </row>
    <row r="84" spans="1:23" ht="18" hidden="1" x14ac:dyDescent="0.25">
      <c r="A84" s="9">
        <v>76</v>
      </c>
      <c r="B84" s="9">
        <v>0</v>
      </c>
      <c r="C84" s="9">
        <v>0</v>
      </c>
      <c r="D84" s="5">
        <f t="shared" si="3"/>
        <v>0</v>
      </c>
      <c r="E84" s="2"/>
      <c r="F84" s="2"/>
      <c r="G84" s="2">
        <f>G78/64</f>
        <v>0</v>
      </c>
      <c r="H84" s="2">
        <f>H79/32</f>
        <v>0</v>
      </c>
      <c r="I84" s="2">
        <f>I80/16</f>
        <v>0</v>
      </c>
      <c r="J84" s="2">
        <f>J81/8</f>
        <v>0</v>
      </c>
      <c r="K84" s="2">
        <f>K82/4</f>
        <v>0</v>
      </c>
      <c r="L84" s="2">
        <f>L83/2</f>
        <v>0</v>
      </c>
      <c r="M84" s="2">
        <f>D84*2</f>
        <v>0</v>
      </c>
      <c r="N84" s="2">
        <f>N85/2</f>
        <v>0</v>
      </c>
      <c r="O84" s="2">
        <f>O86/4</f>
        <v>0</v>
      </c>
      <c r="P84" s="2">
        <f>P87/8</f>
        <v>0</v>
      </c>
      <c r="Q84" s="2">
        <f>Q88/16</f>
        <v>0</v>
      </c>
      <c r="R84" s="2">
        <f>R89/32</f>
        <v>0</v>
      </c>
      <c r="S84" s="2">
        <f>S90/64</f>
        <v>0</v>
      </c>
      <c r="T84" s="2"/>
      <c r="U84" s="2"/>
      <c r="V84" s="2"/>
      <c r="W84" s="6">
        <f t="shared" si="2"/>
        <v>0</v>
      </c>
    </row>
    <row r="85" spans="1:23" ht="18" hidden="1" x14ac:dyDescent="0.25">
      <c r="A85" s="9">
        <v>77</v>
      </c>
      <c r="B85" s="9">
        <v>0</v>
      </c>
      <c r="C85" s="9">
        <v>0</v>
      </c>
      <c r="D85" s="5">
        <f t="shared" si="3"/>
        <v>0</v>
      </c>
      <c r="E85" s="2"/>
      <c r="F85" s="2"/>
      <c r="G85" s="2"/>
      <c r="H85" s="2">
        <f>H79/64</f>
        <v>0</v>
      </c>
      <c r="I85" s="2">
        <f>I80/32</f>
        <v>0</v>
      </c>
      <c r="J85" s="2">
        <f>J81/16</f>
        <v>0</v>
      </c>
      <c r="K85" s="2">
        <f>K82/8</f>
        <v>0</v>
      </c>
      <c r="L85" s="2">
        <f>L83/4</f>
        <v>0</v>
      </c>
      <c r="M85" s="2">
        <f>M84/2</f>
        <v>0</v>
      </c>
      <c r="N85" s="2">
        <f>D85*2</f>
        <v>0</v>
      </c>
      <c r="O85" s="2">
        <f>O86/2</f>
        <v>0</v>
      </c>
      <c r="P85" s="2">
        <f>P87/4</f>
        <v>0</v>
      </c>
      <c r="Q85" s="2">
        <f>Q88/8</f>
        <v>0</v>
      </c>
      <c r="R85" s="2">
        <f>R89/16</f>
        <v>0</v>
      </c>
      <c r="S85" s="2">
        <f>S90/32</f>
        <v>0</v>
      </c>
      <c r="T85" s="2">
        <f>T91/64</f>
        <v>0</v>
      </c>
      <c r="U85" s="2"/>
      <c r="V85" s="2"/>
      <c r="W85" s="6">
        <f t="shared" si="2"/>
        <v>0</v>
      </c>
    </row>
    <row r="86" spans="1:23" ht="18" hidden="1" x14ac:dyDescent="0.25">
      <c r="A86" s="9">
        <v>78</v>
      </c>
      <c r="B86" s="9">
        <v>0</v>
      </c>
      <c r="C86" s="9">
        <v>0</v>
      </c>
      <c r="D86" s="5">
        <f t="shared" si="3"/>
        <v>0</v>
      </c>
      <c r="E86" s="2"/>
      <c r="F86" s="2"/>
      <c r="G86" s="2"/>
      <c r="H86" s="2"/>
      <c r="I86" s="2">
        <f>I80/64</f>
        <v>0</v>
      </c>
      <c r="J86" s="2">
        <f>J81/32</f>
        <v>0</v>
      </c>
      <c r="K86" s="2">
        <f>K82/16</f>
        <v>0</v>
      </c>
      <c r="L86" s="2">
        <f>L83/8</f>
        <v>0</v>
      </c>
      <c r="M86" s="2">
        <f>M84/4</f>
        <v>0</v>
      </c>
      <c r="N86" s="2">
        <f>N85/2</f>
        <v>0</v>
      </c>
      <c r="O86" s="2">
        <f>D86*2</f>
        <v>0</v>
      </c>
      <c r="P86" s="2">
        <f>P87/2</f>
        <v>0</v>
      </c>
      <c r="Q86" s="2">
        <f>Q88/4</f>
        <v>0</v>
      </c>
      <c r="R86" s="2">
        <f>R89/8</f>
        <v>0</v>
      </c>
      <c r="S86" s="2">
        <f>S90/16</f>
        <v>0</v>
      </c>
      <c r="T86" s="2">
        <f>T91/32</f>
        <v>0</v>
      </c>
      <c r="U86" s="2">
        <f>U92/64</f>
        <v>0</v>
      </c>
      <c r="V86" s="2"/>
      <c r="W86" s="6">
        <f t="shared" si="2"/>
        <v>0</v>
      </c>
    </row>
    <row r="87" spans="1:23" ht="18" hidden="1" x14ac:dyDescent="0.25">
      <c r="A87" s="9">
        <v>79</v>
      </c>
      <c r="B87" s="9">
        <v>0</v>
      </c>
      <c r="C87" s="9">
        <v>0</v>
      </c>
      <c r="D87" s="5">
        <f t="shared" si="3"/>
        <v>0</v>
      </c>
      <c r="E87" s="2"/>
      <c r="F87" s="2"/>
      <c r="G87" s="2"/>
      <c r="H87" s="2"/>
      <c r="I87" s="2"/>
      <c r="J87" s="2">
        <f>J81/64</f>
        <v>0</v>
      </c>
      <c r="K87" s="2">
        <f>K82/32</f>
        <v>0</v>
      </c>
      <c r="L87" s="2">
        <f>L83/16</f>
        <v>0</v>
      </c>
      <c r="M87" s="2">
        <f>M84/8</f>
        <v>0</v>
      </c>
      <c r="N87" s="2">
        <f>N85/4</f>
        <v>0</v>
      </c>
      <c r="O87" s="2">
        <f>O86/2</f>
        <v>0</v>
      </c>
      <c r="P87" s="2">
        <f>D87*2</f>
        <v>0</v>
      </c>
      <c r="Q87" s="2">
        <f>Q88/2</f>
        <v>0</v>
      </c>
      <c r="R87" s="2">
        <f>R89/4</f>
        <v>0</v>
      </c>
      <c r="S87" s="2">
        <f>S90/8</f>
        <v>0</v>
      </c>
      <c r="T87" s="2">
        <f>T91/16</f>
        <v>0</v>
      </c>
      <c r="U87" s="2">
        <f>U92/32</f>
        <v>0</v>
      </c>
      <c r="V87" s="2">
        <f>V93/64</f>
        <v>0</v>
      </c>
      <c r="W87" s="6">
        <f t="shared" si="2"/>
        <v>0</v>
      </c>
    </row>
    <row r="88" spans="1:23" ht="18" hidden="1" x14ac:dyDescent="0.25">
      <c r="A88" s="9">
        <v>80</v>
      </c>
      <c r="B88" s="9">
        <v>0</v>
      </c>
      <c r="C88" s="9">
        <v>0</v>
      </c>
      <c r="D88" s="5">
        <f t="shared" si="3"/>
        <v>0</v>
      </c>
      <c r="E88" s="2"/>
      <c r="F88" s="2"/>
      <c r="G88" s="2"/>
      <c r="H88" s="2"/>
      <c r="I88" s="2"/>
      <c r="J88" s="2"/>
      <c r="K88" s="2">
        <f>K82/64</f>
        <v>0</v>
      </c>
      <c r="L88" s="2">
        <f>L83/32</f>
        <v>0</v>
      </c>
      <c r="M88" s="2">
        <f>M84/16</f>
        <v>0</v>
      </c>
      <c r="N88" s="2">
        <f>N85/8</f>
        <v>0</v>
      </c>
      <c r="O88" s="2">
        <f>O86/4</f>
        <v>0</v>
      </c>
      <c r="P88" s="2">
        <f>P87/2</f>
        <v>0</v>
      </c>
      <c r="Q88" s="2">
        <f>D88*2</f>
        <v>0</v>
      </c>
      <c r="R88" s="2">
        <f>R89/2</f>
        <v>0</v>
      </c>
      <c r="S88" s="2">
        <f>S90/4</f>
        <v>0</v>
      </c>
      <c r="T88" s="2">
        <f>T91/8</f>
        <v>0</v>
      </c>
      <c r="U88" s="2">
        <f>U92/16</f>
        <v>0</v>
      </c>
      <c r="V88" s="2">
        <f>V93/32</f>
        <v>0</v>
      </c>
      <c r="W88" s="6">
        <f t="shared" si="2"/>
        <v>0</v>
      </c>
    </row>
    <row r="89" spans="1:23" ht="18" hidden="1" x14ac:dyDescent="0.25">
      <c r="A89" s="9">
        <v>81</v>
      </c>
      <c r="B89" s="9">
        <v>0</v>
      </c>
      <c r="C89" s="9">
        <v>0</v>
      </c>
      <c r="D89" s="5">
        <f t="shared" si="3"/>
        <v>0</v>
      </c>
      <c r="E89" s="2"/>
      <c r="F89" s="2"/>
      <c r="G89" s="2"/>
      <c r="H89" s="2"/>
      <c r="I89" s="2"/>
      <c r="J89" s="2"/>
      <c r="K89" s="2"/>
      <c r="L89" s="2">
        <f>L83/64</f>
        <v>0</v>
      </c>
      <c r="M89" s="2">
        <f>M84/32</f>
        <v>0</v>
      </c>
      <c r="N89" s="2">
        <f>N85/16</f>
        <v>0</v>
      </c>
      <c r="O89" s="2">
        <f>O86/8</f>
        <v>0</v>
      </c>
      <c r="P89" s="2">
        <f>P87/4</f>
        <v>0</v>
      </c>
      <c r="Q89" s="2">
        <f>Q88/2</f>
        <v>0</v>
      </c>
      <c r="R89" s="2">
        <f>D89*2</f>
        <v>0</v>
      </c>
      <c r="S89" s="2">
        <f>S90/2</f>
        <v>0</v>
      </c>
      <c r="T89" s="2">
        <f>T91/4</f>
        <v>0</v>
      </c>
      <c r="U89" s="2">
        <f>U91/4</f>
        <v>0</v>
      </c>
      <c r="V89" s="2">
        <f>V93/16</f>
        <v>0</v>
      </c>
      <c r="W89" s="6">
        <f t="shared" si="2"/>
        <v>0</v>
      </c>
    </row>
    <row r="90" spans="1:23" ht="18" hidden="1" x14ac:dyDescent="0.25">
      <c r="A90" s="9">
        <v>82</v>
      </c>
      <c r="B90" s="9">
        <v>0</v>
      </c>
      <c r="C90" s="9">
        <v>0</v>
      </c>
      <c r="D90" s="5">
        <f t="shared" si="3"/>
        <v>0</v>
      </c>
      <c r="E90" s="2"/>
      <c r="F90" s="2"/>
      <c r="G90" s="2"/>
      <c r="H90" s="2"/>
      <c r="I90" s="2"/>
      <c r="J90" s="2"/>
      <c r="K90" s="2"/>
      <c r="L90" s="2">
        <f>L83/128</f>
        <v>0</v>
      </c>
      <c r="M90" s="2">
        <f>M84/64</f>
        <v>0</v>
      </c>
      <c r="N90" s="2">
        <f>N85/32</f>
        <v>0</v>
      </c>
      <c r="O90" s="2">
        <f>O86/16</f>
        <v>0</v>
      </c>
      <c r="P90" s="2">
        <f>P87/8</f>
        <v>0</v>
      </c>
      <c r="Q90" s="2">
        <f>Q88/4</f>
        <v>0</v>
      </c>
      <c r="R90" s="2">
        <f>R89/2</f>
        <v>0</v>
      </c>
      <c r="S90" s="2">
        <f>D90*2</f>
        <v>0</v>
      </c>
      <c r="T90" s="2">
        <f>T91/2</f>
        <v>0</v>
      </c>
      <c r="U90" s="2">
        <f>U91/2</f>
        <v>0</v>
      </c>
      <c r="V90" s="2">
        <f>V92/4</f>
        <v>0</v>
      </c>
      <c r="W90" s="6">
        <f t="shared" si="2"/>
        <v>0</v>
      </c>
    </row>
    <row r="91" spans="1:23" ht="18" hidden="1" x14ac:dyDescent="0.25">
      <c r="A91" s="9">
        <v>83</v>
      </c>
      <c r="B91" s="9">
        <v>0</v>
      </c>
      <c r="C91" s="9">
        <v>0</v>
      </c>
      <c r="D91" s="5">
        <f t="shared" si="3"/>
        <v>0</v>
      </c>
      <c r="E91" s="2"/>
      <c r="F91" s="2"/>
      <c r="G91" s="2"/>
      <c r="H91" s="2"/>
      <c r="I91" s="2"/>
      <c r="J91" s="2"/>
      <c r="K91" s="2"/>
      <c r="L91" s="2"/>
      <c r="M91" s="2"/>
      <c r="N91" s="2">
        <f>N85/64</f>
        <v>0</v>
      </c>
      <c r="O91" s="2">
        <f>O86/32</f>
        <v>0</v>
      </c>
      <c r="P91" s="2">
        <f>P87/16</f>
        <v>0</v>
      </c>
      <c r="Q91" s="2">
        <f>Q88/8</f>
        <v>0</v>
      </c>
      <c r="R91" s="2">
        <f>R89/4</f>
        <v>0</v>
      </c>
      <c r="S91" s="2">
        <f>S90/2</f>
        <v>0</v>
      </c>
      <c r="T91" s="2">
        <f>D91*2</f>
        <v>0</v>
      </c>
      <c r="U91" s="2">
        <f>E91*2</f>
        <v>0</v>
      </c>
      <c r="V91" s="2">
        <f>V92/2</f>
        <v>0</v>
      </c>
      <c r="W91" s="6">
        <f t="shared" si="2"/>
        <v>0</v>
      </c>
    </row>
    <row r="92" spans="1:23" ht="18" hidden="1" x14ac:dyDescent="0.25">
      <c r="A92" s="9">
        <v>84</v>
      </c>
      <c r="B92" s="9">
        <v>0</v>
      </c>
      <c r="C92" s="9">
        <v>0</v>
      </c>
      <c r="D92" s="5">
        <f t="shared" si="3"/>
        <v>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>
        <f>O86/64</f>
        <v>0</v>
      </c>
      <c r="P92" s="2">
        <f>P87/32</f>
        <v>0</v>
      </c>
      <c r="Q92" s="2">
        <f>Q88/16</f>
        <v>0</v>
      </c>
      <c r="R92" s="2">
        <f>R89/8</f>
        <v>0</v>
      </c>
      <c r="S92" s="2">
        <f>S90/4</f>
        <v>0</v>
      </c>
      <c r="T92" s="2">
        <f>T91/2</f>
        <v>0</v>
      </c>
      <c r="U92" s="2">
        <f>U91/2</f>
        <v>0</v>
      </c>
      <c r="V92" s="2">
        <f>F92*2</f>
        <v>0</v>
      </c>
      <c r="W92" s="6">
        <f t="shared" si="2"/>
        <v>0</v>
      </c>
    </row>
    <row r="93" spans="1:23" ht="18" hidden="1" x14ac:dyDescent="0.25">
      <c r="A93" s="9">
        <v>85</v>
      </c>
      <c r="B93" s="9">
        <v>0</v>
      </c>
      <c r="C93" s="9">
        <v>0</v>
      </c>
      <c r="D93" s="5">
        <f t="shared" si="3"/>
        <v>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>
        <f>P87/64</f>
        <v>0</v>
      </c>
      <c r="Q93" s="2">
        <f>Q88/32</f>
        <v>0</v>
      </c>
      <c r="R93" s="2">
        <f>R89/16</f>
        <v>0</v>
      </c>
      <c r="S93" s="2">
        <f>S90/8</f>
        <v>0</v>
      </c>
      <c r="T93" s="2">
        <f>T91/4</f>
        <v>0</v>
      </c>
      <c r="U93" s="2">
        <f>U91/4</f>
        <v>0</v>
      </c>
      <c r="V93" s="2">
        <f>V92/2</f>
        <v>0</v>
      </c>
      <c r="W93" s="6">
        <f t="shared" si="2"/>
        <v>0</v>
      </c>
    </row>
    <row r="94" spans="1:23" ht="18" hidden="1" x14ac:dyDescent="0.25">
      <c r="A94" s="9">
        <v>86</v>
      </c>
      <c r="B94" s="9">
        <v>0</v>
      </c>
      <c r="C94" s="9">
        <v>0</v>
      </c>
      <c r="D94" s="5">
        <f t="shared" si="3"/>
        <v>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>
        <f>Q88/64</f>
        <v>0</v>
      </c>
      <c r="R94" s="2">
        <f>R89/32</f>
        <v>0</v>
      </c>
      <c r="S94" s="2">
        <f>S90/16</f>
        <v>0</v>
      </c>
      <c r="T94" s="2">
        <f>T91/8</f>
        <v>0</v>
      </c>
      <c r="U94" s="2">
        <f>U91/8</f>
        <v>0</v>
      </c>
      <c r="V94" s="2">
        <f>V92/4</f>
        <v>0</v>
      </c>
      <c r="W94" s="6">
        <f t="shared" si="2"/>
        <v>0</v>
      </c>
    </row>
    <row r="95" spans="1:23" ht="18" hidden="1" x14ac:dyDescent="0.25">
      <c r="A95" s="9">
        <v>87</v>
      </c>
      <c r="B95" s="9">
        <v>0</v>
      </c>
      <c r="C95" s="9">
        <v>0</v>
      </c>
      <c r="D95" s="5">
        <f t="shared" si="3"/>
        <v>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>
        <f>R89/64</f>
        <v>0</v>
      </c>
      <c r="S95" s="2">
        <f>S90/32</f>
        <v>0</v>
      </c>
      <c r="T95" s="2">
        <f>T91/16</f>
        <v>0</v>
      </c>
      <c r="U95" s="2">
        <f>U91/16</f>
        <v>0</v>
      </c>
      <c r="V95" s="2">
        <f>V92/8</f>
        <v>0</v>
      </c>
      <c r="W95" s="6">
        <f t="shared" si="2"/>
        <v>0</v>
      </c>
    </row>
    <row r="96" spans="1:23" ht="18" hidden="1" x14ac:dyDescent="0.25">
      <c r="A96" s="9">
        <v>88</v>
      </c>
      <c r="B96" s="9">
        <v>0</v>
      </c>
      <c r="C96" s="9">
        <v>0</v>
      </c>
      <c r="D96" s="5">
        <f t="shared" si="3"/>
        <v>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>
        <f>S90/64</f>
        <v>0</v>
      </c>
      <c r="T96" s="2">
        <f>T91/32</f>
        <v>0</v>
      </c>
      <c r="U96" s="2">
        <f>U91/32</f>
        <v>0</v>
      </c>
      <c r="V96" s="2">
        <f>V92/16</f>
        <v>0</v>
      </c>
      <c r="W96" s="6">
        <f t="shared" si="2"/>
        <v>0</v>
      </c>
    </row>
    <row r="97" spans="1:23" ht="18" hidden="1" x14ac:dyDescent="0.25">
      <c r="A97" s="9">
        <v>89</v>
      </c>
      <c r="B97" s="9">
        <v>0</v>
      </c>
      <c r="C97" s="9">
        <v>0</v>
      </c>
      <c r="D97" s="5">
        <f t="shared" si="3"/>
        <v>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>
        <f>T91/64</f>
        <v>0</v>
      </c>
      <c r="U97" s="2">
        <f>U92/32</f>
        <v>0</v>
      </c>
      <c r="V97" s="2">
        <f>V92/32</f>
        <v>0</v>
      </c>
      <c r="W97" s="6">
        <f t="shared" si="2"/>
        <v>0</v>
      </c>
    </row>
    <row r="98" spans="1:23" ht="18" hidden="1" x14ac:dyDescent="0.25">
      <c r="A98" s="9">
        <v>90</v>
      </c>
      <c r="B98" s="9">
        <v>0</v>
      </c>
      <c r="C98" s="9">
        <v>0</v>
      </c>
      <c r="D98" s="5">
        <f t="shared" si="3"/>
        <v>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>
        <f>U92/64</f>
        <v>0</v>
      </c>
      <c r="V98" s="2">
        <f>V93/32</f>
        <v>0</v>
      </c>
      <c r="W98" s="6"/>
    </row>
    <row r="99" spans="1:23" ht="18" hidden="1" x14ac:dyDescent="0.25">
      <c r="A99" s="9">
        <v>91</v>
      </c>
      <c r="B99" s="9">
        <v>0</v>
      </c>
      <c r="C99" s="9">
        <v>0</v>
      </c>
      <c r="D99" s="5">
        <f t="shared" si="3"/>
        <v>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>
        <f>V93/64</f>
        <v>0</v>
      </c>
      <c r="W99" s="6"/>
    </row>
    <row r="100" spans="1:23" ht="18" x14ac:dyDescent="0.25">
      <c r="A100" s="9" t="s">
        <v>10</v>
      </c>
      <c r="B100" s="9">
        <f>SUM(B6:B92)</f>
        <v>6019</v>
      </c>
      <c r="C100" s="9">
        <f>SUM(C6:C92)</f>
        <v>6019</v>
      </c>
      <c r="D100" s="5">
        <f t="shared" ref="D100" si="4">SUM(C100-B100)</f>
        <v>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10"/>
    </row>
    <row r="101" spans="1:23" ht="18" x14ac:dyDescent="0.25">
      <c r="A101" s="9" t="s">
        <v>11</v>
      </c>
      <c r="B101" s="9">
        <v>44</v>
      </c>
      <c r="C101" s="9"/>
      <c r="D101" s="9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10"/>
    </row>
    <row r="102" spans="1:23" ht="18" x14ac:dyDescent="0.25">
      <c r="A102" s="9" t="s">
        <v>12</v>
      </c>
      <c r="B102" s="9">
        <f>SUM(B100/B101)</f>
        <v>136.79545454545453</v>
      </c>
      <c r="C102" s="9"/>
      <c r="D102" s="9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9"/>
    </row>
    <row r="103" spans="1:23" ht="18" x14ac:dyDescent="0.25">
      <c r="A103" s="9"/>
      <c r="B103" s="9"/>
      <c r="C103" s="9"/>
      <c r="D103" s="9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9"/>
    </row>
    <row r="104" spans="1:23" ht="18" x14ac:dyDescent="0.25">
      <c r="A104" s="11" t="s">
        <v>13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spans="1:23" ht="18" x14ac:dyDescent="0.25">
      <c r="A105" s="11" t="s">
        <v>14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 spans="1:23" ht="18" x14ac:dyDescent="0.25">
      <c r="A106" s="12"/>
      <c r="B106" s="12"/>
      <c r="C106" s="12"/>
      <c r="D106" s="12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2"/>
    </row>
    <row r="107" spans="1:23" ht="18" x14ac:dyDescent="0.25">
      <c r="A107" s="12"/>
      <c r="B107" s="12"/>
      <c r="C107" s="12"/>
      <c r="D107" s="12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2"/>
    </row>
    <row r="108" spans="1:23" ht="18" x14ac:dyDescent="0.25">
      <c r="A108" s="12"/>
      <c r="B108" s="12"/>
      <c r="C108" s="12"/>
      <c r="D108" s="12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4" t="s">
        <v>15</v>
      </c>
      <c r="T108" s="14"/>
      <c r="U108" s="14"/>
      <c r="V108" s="14"/>
      <c r="W108" s="14"/>
    </row>
  </sheetData>
  <mergeCells count="4">
    <mergeCell ref="A1:W1"/>
    <mergeCell ref="A104:W104"/>
    <mergeCell ref="A105:W105"/>
    <mergeCell ref="S108:W108"/>
  </mergeCells>
  <pageMargins left="0.74803149606299213" right="0.23622047244094491" top="0.74803149606299213" bottom="0.51181102362204722" header="0.51181102362204722" footer="0.51181102362204722"/>
  <pageSetup paperSize="9" scale="6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 MAJN</vt:lpstr>
      <vt:lpstr>'5 MAJN'!Print_Area</vt:lpstr>
      <vt:lpstr>'5 MAJN'!Print_Titles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Shanil G D</dc:creator>
  <cp:lastModifiedBy>Shanil G D</cp:lastModifiedBy>
  <dcterms:created xsi:type="dcterms:W3CDTF">2026-05-28T05:47:34Z</dcterms:created>
  <dcterms:modified xsi:type="dcterms:W3CDTF">2026-05-28T05:50:26Z</dcterms:modified>
</cp:coreProperties>
</file>